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odier\Google Drive\"/>
    </mc:Choice>
  </mc:AlternateContent>
  <bookViews>
    <workbookView xWindow="930" yWindow="0" windowWidth="20490" windowHeight="7530"/>
  </bookViews>
  <sheets>
    <sheet name="BITACORA" sheetId="6" r:id="rId1"/>
    <sheet name="General" sheetId="5" r:id="rId2"/>
  </sheets>
  <definedNames>
    <definedName name="BATERIAS">General!$I$2:$I$30</definedName>
    <definedName name="CABLES">General!$I$31:$I$51</definedName>
    <definedName name="CAMARA">General!$I$52:$I$54</definedName>
    <definedName name="CARGADOR">General!$I$55</definedName>
    <definedName name="CATEGORIA">General!$M$2:$M$15</definedName>
    <definedName name="COMPUTADORA">General!$I$183:$I$184</definedName>
    <definedName name="CONTROL">General!$I$56:$I$59</definedName>
    <definedName name="ELECTRONICA">General!$I$60:$I$80</definedName>
    <definedName name="GIMBAL">General!$I$81:$I$83</definedName>
    <definedName name="HARDWARE">General!$I$84:$I$104</definedName>
    <definedName name="HERRAMIENTA">General!$I$105:$I$130</definedName>
    <definedName name="INSUMOS">General!$I$131:$I$152</definedName>
    <definedName name="Lista">BITACORA!$N$8:INDEX(BITACORA!$N$8:$N$404,MAX(BITACORA!$M$8:$M$404),1)</definedName>
    <definedName name="MEMORIAS">General!$C$153:$C$154</definedName>
    <definedName name="OTROS">General!$I$155:$I$163</definedName>
    <definedName name="REFACCIONES">General!$I$164:$I$182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7" i="5" l="1"/>
  <c r="L193" i="6" s="1"/>
  <c r="J187" i="5"/>
  <c r="L206" i="6"/>
  <c r="L205" i="6"/>
  <c r="L204" i="6"/>
  <c r="L203" i="6"/>
  <c r="L202" i="6"/>
  <c r="L201" i="6"/>
  <c r="L200" i="6"/>
  <c r="L199" i="6"/>
  <c r="L198" i="6"/>
  <c r="L197" i="6"/>
  <c r="L196" i="6"/>
  <c r="I188" i="5"/>
  <c r="L194" i="6" s="1"/>
  <c r="J188" i="5"/>
  <c r="I189" i="5"/>
  <c r="L195" i="6" s="1"/>
  <c r="J189" i="5"/>
  <c r="I190" i="5"/>
  <c r="J190" i="5"/>
  <c r="J2" i="5" l="1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I2" i="5" l="1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L108" i="6" s="1"/>
  <c r="I103" i="5"/>
  <c r="L109" i="6" s="1"/>
  <c r="I104" i="5"/>
  <c r="L110" i="6" s="1"/>
  <c r="I105" i="5"/>
  <c r="L111" i="6" s="1"/>
  <c r="I106" i="5"/>
  <c r="L112" i="6" s="1"/>
  <c r="I107" i="5"/>
  <c r="L113" i="6" s="1"/>
  <c r="I108" i="5"/>
  <c r="L114" i="6" s="1"/>
  <c r="I109" i="5"/>
  <c r="L115" i="6" s="1"/>
  <c r="I110" i="5"/>
  <c r="L116" i="6" s="1"/>
  <c r="I111" i="5"/>
  <c r="L117" i="6" s="1"/>
  <c r="I112" i="5"/>
  <c r="L118" i="6" s="1"/>
  <c r="I113" i="5"/>
  <c r="L119" i="6" s="1"/>
  <c r="I114" i="5"/>
  <c r="L120" i="6" s="1"/>
  <c r="I115" i="5"/>
  <c r="L121" i="6" s="1"/>
  <c r="I116" i="5"/>
  <c r="L122" i="6" s="1"/>
  <c r="I117" i="5"/>
  <c r="L123" i="6" s="1"/>
  <c r="I118" i="5"/>
  <c r="L124" i="6" s="1"/>
  <c r="I119" i="5"/>
  <c r="L125" i="6" s="1"/>
  <c r="I120" i="5"/>
  <c r="L126" i="6" s="1"/>
  <c r="I121" i="5"/>
  <c r="L127" i="6" s="1"/>
  <c r="I122" i="5"/>
  <c r="L128" i="6" s="1"/>
  <c r="I123" i="5"/>
  <c r="L129" i="6" s="1"/>
  <c r="I124" i="5"/>
  <c r="L130" i="6" s="1"/>
  <c r="I125" i="5"/>
  <c r="L131" i="6" s="1"/>
  <c r="I126" i="5"/>
  <c r="L132" i="6" s="1"/>
  <c r="I127" i="5"/>
  <c r="L133" i="6" s="1"/>
  <c r="I128" i="5"/>
  <c r="L134" i="6" s="1"/>
  <c r="I129" i="5"/>
  <c r="L135" i="6" s="1"/>
  <c r="I130" i="5"/>
  <c r="L136" i="6" s="1"/>
  <c r="I131" i="5"/>
  <c r="L137" i="6" s="1"/>
  <c r="I132" i="5"/>
  <c r="L138" i="6" s="1"/>
  <c r="I133" i="5"/>
  <c r="L139" i="6" s="1"/>
  <c r="I134" i="5"/>
  <c r="L140" i="6" s="1"/>
  <c r="I135" i="5"/>
  <c r="L141" i="6" s="1"/>
  <c r="I136" i="5"/>
  <c r="L142" i="6" s="1"/>
  <c r="I137" i="5"/>
  <c r="L143" i="6" s="1"/>
  <c r="I138" i="5"/>
  <c r="L144" i="6" s="1"/>
  <c r="I139" i="5"/>
  <c r="L145" i="6" s="1"/>
  <c r="I140" i="5"/>
  <c r="L146" i="6" s="1"/>
  <c r="I141" i="5"/>
  <c r="L147" i="6" s="1"/>
  <c r="I142" i="5"/>
  <c r="L148" i="6" s="1"/>
  <c r="I143" i="5"/>
  <c r="L149" i="6" s="1"/>
  <c r="I144" i="5"/>
  <c r="L150" i="6" s="1"/>
  <c r="I145" i="5"/>
  <c r="L151" i="6" s="1"/>
  <c r="I146" i="5"/>
  <c r="L152" i="6" s="1"/>
  <c r="I147" i="5"/>
  <c r="L153" i="6" s="1"/>
  <c r="I148" i="5"/>
  <c r="L154" i="6" s="1"/>
  <c r="I149" i="5"/>
  <c r="L155" i="6" s="1"/>
  <c r="I150" i="5"/>
  <c r="L156" i="6" s="1"/>
  <c r="I151" i="5"/>
  <c r="L157" i="6" s="1"/>
  <c r="I152" i="5"/>
  <c r="L158" i="6" s="1"/>
  <c r="I153" i="5"/>
  <c r="L159" i="6" s="1"/>
  <c r="I154" i="5"/>
  <c r="L160" i="6" s="1"/>
  <c r="I155" i="5"/>
  <c r="L161" i="6" s="1"/>
  <c r="I156" i="5"/>
  <c r="L162" i="6" s="1"/>
  <c r="I157" i="5"/>
  <c r="L163" i="6" s="1"/>
  <c r="I158" i="5"/>
  <c r="L164" i="6" s="1"/>
  <c r="I159" i="5"/>
  <c r="L165" i="6" s="1"/>
  <c r="I160" i="5"/>
  <c r="L166" i="6" s="1"/>
  <c r="I161" i="5"/>
  <c r="L167" i="6" s="1"/>
  <c r="I162" i="5"/>
  <c r="L168" i="6" s="1"/>
  <c r="I163" i="5"/>
  <c r="L169" i="6" s="1"/>
  <c r="I164" i="5"/>
  <c r="L170" i="6" s="1"/>
  <c r="I165" i="5"/>
  <c r="L171" i="6" s="1"/>
  <c r="I166" i="5"/>
  <c r="L172" i="6" s="1"/>
  <c r="I167" i="5"/>
  <c r="L173" i="6" s="1"/>
  <c r="I168" i="5"/>
  <c r="L174" i="6" s="1"/>
  <c r="I169" i="5"/>
  <c r="L175" i="6" s="1"/>
  <c r="I170" i="5"/>
  <c r="L176" i="6" s="1"/>
  <c r="I171" i="5"/>
  <c r="L177" i="6" s="1"/>
  <c r="I172" i="5"/>
  <c r="L178" i="6" s="1"/>
  <c r="I173" i="5"/>
  <c r="L179" i="6" s="1"/>
  <c r="I174" i="5"/>
  <c r="L180" i="6" s="1"/>
  <c r="I175" i="5"/>
  <c r="L181" i="6" s="1"/>
  <c r="I176" i="5"/>
  <c r="L182" i="6" s="1"/>
  <c r="I177" i="5"/>
  <c r="L183" i="6" s="1"/>
  <c r="I178" i="5"/>
  <c r="L184" i="6" s="1"/>
  <c r="I179" i="5"/>
  <c r="L185" i="6" s="1"/>
  <c r="I180" i="5"/>
  <c r="L186" i="6" s="1"/>
  <c r="I181" i="5"/>
  <c r="L187" i="6" s="1"/>
  <c r="I182" i="5"/>
  <c r="L188" i="6" s="1"/>
  <c r="I183" i="5"/>
  <c r="L189" i="6" s="1"/>
  <c r="I184" i="5"/>
  <c r="L190" i="6" s="1"/>
  <c r="I185" i="5"/>
  <c r="L191" i="6" s="1"/>
  <c r="I186" i="5"/>
  <c r="L192" i="6" s="1"/>
  <c r="L207" i="6" l="1"/>
  <c r="L307" i="6"/>
  <c r="L107" i="6"/>
  <c r="L305" i="6"/>
  <c r="L105" i="6"/>
  <c r="L303" i="6"/>
  <c r="L403" i="6"/>
  <c r="L103" i="6"/>
  <c r="L301" i="6"/>
  <c r="L401" i="6"/>
  <c r="L101" i="6"/>
  <c r="L299" i="6"/>
  <c r="L399" i="6"/>
  <c r="L99" i="6"/>
  <c r="L297" i="6"/>
  <c r="L397" i="6"/>
  <c r="L97" i="6"/>
  <c r="L295" i="6"/>
  <c r="L395" i="6"/>
  <c r="L95" i="6"/>
  <c r="L293" i="6"/>
  <c r="L393" i="6"/>
  <c r="L93" i="6"/>
  <c r="L291" i="6"/>
  <c r="L391" i="6"/>
  <c r="L91" i="6"/>
  <c r="L289" i="6"/>
  <c r="L389" i="6"/>
  <c r="L89" i="6"/>
  <c r="L287" i="6"/>
  <c r="L387" i="6"/>
  <c r="L87" i="6"/>
  <c r="L285" i="6"/>
  <c r="L385" i="6"/>
  <c r="L85" i="6"/>
  <c r="L283" i="6"/>
  <c r="L383" i="6"/>
  <c r="L83" i="6"/>
  <c r="L281" i="6"/>
  <c r="L381" i="6"/>
  <c r="L81" i="6"/>
  <c r="L279" i="6"/>
  <c r="L379" i="6"/>
  <c r="L79" i="6"/>
  <c r="L277" i="6"/>
  <c r="L377" i="6"/>
  <c r="L77" i="6"/>
  <c r="L275" i="6"/>
  <c r="L375" i="6"/>
  <c r="L75" i="6"/>
  <c r="L273" i="6"/>
  <c r="L373" i="6"/>
  <c r="L73" i="6"/>
  <c r="L271" i="6"/>
  <c r="L371" i="6"/>
  <c r="L71" i="6"/>
  <c r="L269" i="6"/>
  <c r="L369" i="6"/>
  <c r="L69" i="6"/>
  <c r="L267" i="6"/>
  <c r="L367" i="6"/>
  <c r="L67" i="6"/>
  <c r="L265" i="6"/>
  <c r="L365" i="6"/>
  <c r="L65" i="6"/>
  <c r="L263" i="6"/>
  <c r="L363" i="6"/>
  <c r="L63" i="6"/>
  <c r="L261" i="6"/>
  <c r="L361" i="6"/>
  <c r="L61" i="6"/>
  <c r="L259" i="6"/>
  <c r="L359" i="6"/>
  <c r="L59" i="6"/>
  <c r="L257" i="6"/>
  <c r="L357" i="6"/>
  <c r="L57" i="6"/>
  <c r="L255" i="6"/>
  <c r="L355" i="6"/>
  <c r="L55" i="6"/>
  <c r="L253" i="6"/>
  <c r="L353" i="6"/>
  <c r="L53" i="6"/>
  <c r="L251" i="6"/>
  <c r="L351" i="6"/>
  <c r="L51" i="6"/>
  <c r="L249" i="6"/>
  <c r="L349" i="6"/>
  <c r="L49" i="6"/>
  <c r="L247" i="6"/>
  <c r="L347" i="6"/>
  <c r="L47" i="6"/>
  <c r="L245" i="6"/>
  <c r="L345" i="6"/>
  <c r="L45" i="6"/>
  <c r="L243" i="6"/>
  <c r="L343" i="6"/>
  <c r="L43" i="6"/>
  <c r="L241" i="6"/>
  <c r="L341" i="6"/>
  <c r="L41" i="6"/>
  <c r="L239" i="6"/>
  <c r="L339" i="6"/>
  <c r="L39" i="6"/>
  <c r="L237" i="6"/>
  <c r="L337" i="6"/>
  <c r="L37" i="6"/>
  <c r="L235" i="6"/>
  <c r="L335" i="6"/>
  <c r="L35" i="6"/>
  <c r="L233" i="6"/>
  <c r="L333" i="6"/>
  <c r="L33" i="6"/>
  <c r="L231" i="6"/>
  <c r="L331" i="6"/>
  <c r="L31" i="6"/>
  <c r="L229" i="6"/>
  <c r="L329" i="6"/>
  <c r="L29" i="6"/>
  <c r="L227" i="6"/>
  <c r="L327" i="6"/>
  <c r="L27" i="6"/>
  <c r="L225" i="6"/>
  <c r="L325" i="6"/>
  <c r="L25" i="6"/>
  <c r="L223" i="6"/>
  <c r="L323" i="6"/>
  <c r="L23" i="6"/>
  <c r="L221" i="6"/>
  <c r="L321" i="6"/>
  <c r="L21" i="6"/>
  <c r="L219" i="6"/>
  <c r="L319" i="6"/>
  <c r="L19" i="6"/>
  <c r="L217" i="6"/>
  <c r="L317" i="6"/>
  <c r="L17" i="6"/>
  <c r="L215" i="6"/>
  <c r="L315" i="6"/>
  <c r="L15" i="6"/>
  <c r="L213" i="6"/>
  <c r="L313" i="6"/>
  <c r="L13" i="6"/>
  <c r="L211" i="6"/>
  <c r="L311" i="6"/>
  <c r="L11" i="6"/>
  <c r="L209" i="6"/>
  <c r="L309" i="6"/>
  <c r="L9" i="6"/>
  <c r="L306" i="6"/>
  <c r="L106" i="6"/>
  <c r="L304" i="6"/>
  <c r="L404" i="6"/>
  <c r="L104" i="6"/>
  <c r="L302" i="6"/>
  <c r="L402" i="6"/>
  <c r="L102" i="6"/>
  <c r="L300" i="6"/>
  <c r="L400" i="6"/>
  <c r="L100" i="6"/>
  <c r="L298" i="6"/>
  <c r="L398" i="6"/>
  <c r="L98" i="6"/>
  <c r="L296" i="6"/>
  <c r="L396" i="6"/>
  <c r="L96" i="6"/>
  <c r="L294" i="6"/>
  <c r="L394" i="6"/>
  <c r="L94" i="6"/>
  <c r="L292" i="6"/>
  <c r="L392" i="6"/>
  <c r="L92" i="6"/>
  <c r="L290" i="6"/>
  <c r="L390" i="6"/>
  <c r="L90" i="6"/>
  <c r="L388" i="6"/>
  <c r="L88" i="6"/>
  <c r="L288" i="6"/>
  <c r="L286" i="6"/>
  <c r="L386" i="6"/>
  <c r="L86" i="6"/>
  <c r="L384" i="6"/>
  <c r="L84" i="6"/>
  <c r="L284" i="6"/>
  <c r="L282" i="6"/>
  <c r="L382" i="6"/>
  <c r="L82" i="6"/>
  <c r="L380" i="6"/>
  <c r="L80" i="6"/>
  <c r="L280" i="6"/>
  <c r="L278" i="6"/>
  <c r="L378" i="6"/>
  <c r="L78" i="6"/>
  <c r="L376" i="6"/>
  <c r="L76" i="6"/>
  <c r="L276" i="6"/>
  <c r="L274" i="6"/>
  <c r="L374" i="6"/>
  <c r="L74" i="6"/>
  <c r="L372" i="6"/>
  <c r="L72" i="6"/>
  <c r="L272" i="6"/>
  <c r="L270" i="6"/>
  <c r="L370" i="6"/>
  <c r="L70" i="6"/>
  <c r="L368" i="6"/>
  <c r="L68" i="6"/>
  <c r="L268" i="6"/>
  <c r="L266" i="6"/>
  <c r="L366" i="6"/>
  <c r="L66" i="6"/>
  <c r="L264" i="6"/>
  <c r="L364" i="6"/>
  <c r="L64" i="6"/>
  <c r="L262" i="6"/>
  <c r="L362" i="6"/>
  <c r="L62" i="6"/>
  <c r="L260" i="6"/>
  <c r="L360" i="6"/>
  <c r="L60" i="6"/>
  <c r="L258" i="6"/>
  <c r="L358" i="6"/>
  <c r="L58" i="6"/>
  <c r="L256" i="6"/>
  <c r="L356" i="6"/>
  <c r="L56" i="6"/>
  <c r="L254" i="6"/>
  <c r="L354" i="6"/>
  <c r="L54" i="6"/>
  <c r="L252" i="6"/>
  <c r="L352" i="6"/>
  <c r="L52" i="6"/>
  <c r="L250" i="6"/>
  <c r="L350" i="6"/>
  <c r="L50" i="6"/>
  <c r="L248" i="6"/>
  <c r="L348" i="6"/>
  <c r="L48" i="6"/>
  <c r="L246" i="6"/>
  <c r="L346" i="6"/>
  <c r="L46" i="6"/>
  <c r="L244" i="6"/>
  <c r="L344" i="6"/>
  <c r="L44" i="6"/>
  <c r="L242" i="6"/>
  <c r="L342" i="6"/>
  <c r="L42" i="6"/>
  <c r="L240" i="6"/>
  <c r="L340" i="6"/>
  <c r="L40" i="6"/>
  <c r="L238" i="6"/>
  <c r="L338" i="6"/>
  <c r="L38" i="6"/>
  <c r="L236" i="6"/>
  <c r="L336" i="6"/>
  <c r="L36" i="6"/>
  <c r="L234" i="6"/>
  <c r="L334" i="6"/>
  <c r="L34" i="6"/>
  <c r="L232" i="6"/>
  <c r="L332" i="6"/>
  <c r="L32" i="6"/>
  <c r="L230" i="6"/>
  <c r="L330" i="6"/>
  <c r="L30" i="6"/>
  <c r="L228" i="6"/>
  <c r="L328" i="6"/>
  <c r="L28" i="6"/>
  <c r="L226" i="6"/>
  <c r="L326" i="6"/>
  <c r="L26" i="6"/>
  <c r="L224" i="6"/>
  <c r="L324" i="6"/>
  <c r="L24" i="6"/>
  <c r="L222" i="6"/>
  <c r="L322" i="6"/>
  <c r="L22" i="6"/>
  <c r="L220" i="6"/>
  <c r="L320" i="6"/>
  <c r="L20" i="6"/>
  <c r="L218" i="6"/>
  <c r="L318" i="6"/>
  <c r="L18" i="6"/>
  <c r="L216" i="6"/>
  <c r="L316" i="6"/>
  <c r="L16" i="6"/>
  <c r="L214" i="6"/>
  <c r="L314" i="6"/>
  <c r="L14" i="6"/>
  <c r="L212" i="6"/>
  <c r="L312" i="6"/>
  <c r="L12" i="6"/>
  <c r="L210" i="6"/>
  <c r="L310" i="6"/>
  <c r="L10" i="6"/>
  <c r="L208" i="6"/>
  <c r="L308" i="6"/>
  <c r="L8" i="6"/>
  <c r="B8" i="6"/>
  <c r="M261" i="6" l="1"/>
  <c r="M389" i="6"/>
  <c r="M325" i="6"/>
  <c r="M357" i="6"/>
  <c r="M229" i="6"/>
  <c r="M293" i="6"/>
  <c r="M237" i="6"/>
  <c r="M309" i="6"/>
  <c r="M341" i="6"/>
  <c r="M373" i="6"/>
  <c r="M399" i="6"/>
  <c r="M277" i="6"/>
  <c r="M245" i="6"/>
  <c r="M317" i="6"/>
  <c r="M333" i="6"/>
  <c r="M349" i="6"/>
  <c r="M365" i="6"/>
  <c r="M381" i="6"/>
  <c r="M403" i="6"/>
  <c r="M395" i="6"/>
  <c r="M301" i="6"/>
  <c r="M285" i="6"/>
  <c r="M269" i="6"/>
  <c r="M253" i="6"/>
  <c r="M222" i="6"/>
  <c r="M305" i="6"/>
  <c r="M233" i="6"/>
  <c r="M241" i="6"/>
  <c r="M249" i="6"/>
  <c r="M257" i="6"/>
  <c r="M265" i="6"/>
  <c r="M273" i="6"/>
  <c r="M281" i="6"/>
  <c r="M289" i="6"/>
  <c r="M297" i="6"/>
  <c r="M401" i="6"/>
  <c r="M397" i="6"/>
  <c r="M393" i="6"/>
  <c r="M385" i="6"/>
  <c r="M377" i="6"/>
  <c r="M369" i="6"/>
  <c r="M361" i="6"/>
  <c r="M353" i="6"/>
  <c r="M345" i="6"/>
  <c r="M337" i="6"/>
  <c r="M329" i="6"/>
  <c r="M321" i="6"/>
  <c r="M313" i="6"/>
  <c r="M394" i="6"/>
  <c r="M398" i="6"/>
  <c r="M402" i="6"/>
  <c r="M231" i="6"/>
  <c r="M235" i="6"/>
  <c r="M239" i="6"/>
  <c r="M243" i="6"/>
  <c r="M247" i="6"/>
  <c r="M251" i="6"/>
  <c r="M255" i="6"/>
  <c r="M259" i="6"/>
  <c r="M263" i="6"/>
  <c r="M267" i="6"/>
  <c r="M271" i="6"/>
  <c r="M275" i="6"/>
  <c r="M279" i="6"/>
  <c r="M283" i="6"/>
  <c r="M287" i="6"/>
  <c r="M291" i="6"/>
  <c r="M295" i="6"/>
  <c r="M299" i="6"/>
  <c r="M303" i="6"/>
  <c r="M307" i="6"/>
  <c r="M310" i="6"/>
  <c r="M314" i="6"/>
  <c r="M318" i="6"/>
  <c r="M322" i="6"/>
  <c r="M224" i="6"/>
  <c r="M228" i="6"/>
  <c r="M334" i="6"/>
  <c r="M236" i="6"/>
  <c r="M342" i="6"/>
  <c r="M346" i="6"/>
  <c r="M248" i="6"/>
  <c r="M354" i="6"/>
  <c r="M358" i="6"/>
  <c r="M260" i="6"/>
  <c r="M264" i="6"/>
  <c r="M268" i="6"/>
  <c r="M370" i="6"/>
  <c r="M372" i="6"/>
  <c r="M276" i="6"/>
  <c r="M378" i="6"/>
  <c r="M380" i="6"/>
  <c r="M284" i="6"/>
  <c r="M386" i="6"/>
  <c r="M388" i="6"/>
  <c r="M306" i="6"/>
  <c r="M230" i="6"/>
  <c r="M234" i="6"/>
  <c r="M238" i="6"/>
  <c r="M242" i="6"/>
  <c r="M246" i="6"/>
  <c r="M250" i="6"/>
  <c r="M254" i="6"/>
  <c r="M258" i="6"/>
  <c r="M262" i="6"/>
  <c r="M266" i="6"/>
  <c r="M270" i="6"/>
  <c r="M274" i="6"/>
  <c r="M278" i="6"/>
  <c r="M282" i="6"/>
  <c r="M286" i="6"/>
  <c r="M290" i="6"/>
  <c r="M294" i="6"/>
  <c r="M298" i="6"/>
  <c r="M302" i="6"/>
  <c r="M308" i="6"/>
  <c r="M312" i="6"/>
  <c r="M316" i="6"/>
  <c r="M320" i="6"/>
  <c r="M324" i="6"/>
  <c r="M328" i="6"/>
  <c r="M332" i="6"/>
  <c r="M336" i="6"/>
  <c r="M340" i="6"/>
  <c r="M344" i="6"/>
  <c r="M348" i="6"/>
  <c r="M352" i="6"/>
  <c r="M356" i="6"/>
  <c r="M360" i="6"/>
  <c r="M364" i="6"/>
  <c r="M392" i="6"/>
  <c r="M326" i="6"/>
  <c r="M330" i="6"/>
  <c r="M232" i="6"/>
  <c r="M338" i="6"/>
  <c r="M240" i="6"/>
  <c r="M244" i="6"/>
  <c r="M350" i="6"/>
  <c r="M252" i="6"/>
  <c r="M256" i="6"/>
  <c r="M362" i="6"/>
  <c r="M366" i="6"/>
  <c r="M368" i="6"/>
  <c r="M272" i="6"/>
  <c r="M374" i="6"/>
  <c r="M376" i="6"/>
  <c r="M280" i="6"/>
  <c r="M382" i="6"/>
  <c r="M384" i="6"/>
  <c r="M288" i="6"/>
  <c r="M390" i="6"/>
  <c r="M292" i="6"/>
  <c r="M296" i="6"/>
  <c r="M300" i="6"/>
  <c r="M304" i="6"/>
  <c r="M404" i="6"/>
  <c r="M400" i="6"/>
  <c r="M396" i="6"/>
  <c r="M391" i="6"/>
  <c r="M387" i="6"/>
  <c r="M383" i="6"/>
  <c r="M379" i="6"/>
  <c r="M375" i="6"/>
  <c r="M371" i="6"/>
  <c r="M367" i="6"/>
  <c r="M363" i="6"/>
  <c r="M359" i="6"/>
  <c r="M355" i="6"/>
  <c r="M351" i="6"/>
  <c r="M347" i="6"/>
  <c r="M343" i="6"/>
  <c r="M339" i="6"/>
  <c r="M335" i="6"/>
  <c r="M331" i="6"/>
  <c r="M327" i="6"/>
  <c r="M323" i="6"/>
  <c r="M319" i="6"/>
  <c r="M315" i="6"/>
  <c r="M311" i="6"/>
  <c r="M226" i="6"/>
  <c r="M221" i="6"/>
  <c r="M227" i="6"/>
  <c r="M225" i="6"/>
  <c r="M223" i="6"/>
  <c r="M216" i="6"/>
  <c r="M220" i="6"/>
  <c r="M215" i="6"/>
  <c r="M219" i="6"/>
  <c r="M214" i="6"/>
  <c r="M218" i="6"/>
  <c r="M213" i="6"/>
  <c r="M217" i="6"/>
  <c r="B12" i="6"/>
  <c r="E9" i="6"/>
  <c r="E7" i="6"/>
  <c r="C6" i="6"/>
  <c r="E10" i="6"/>
  <c r="E8" i="6"/>
  <c r="M211" i="6" l="1"/>
  <c r="M212" i="6"/>
  <c r="M208" i="6"/>
  <c r="M210" i="6"/>
  <c r="M209" i="6"/>
  <c r="M206" i="6"/>
  <c r="M207" i="6"/>
  <c r="M194" i="6"/>
  <c r="M193" i="6"/>
  <c r="M155" i="6"/>
  <c r="M203" i="6"/>
  <c r="M199" i="6"/>
  <c r="M191" i="6"/>
  <c r="M177" i="6"/>
  <c r="M165" i="6"/>
  <c r="M159" i="6"/>
  <c r="M154" i="6"/>
  <c r="M144" i="6"/>
  <c r="M128" i="6"/>
  <c r="M118" i="6"/>
  <c r="M112" i="6"/>
  <c r="M106" i="6"/>
  <c r="M90" i="6"/>
  <c r="M84" i="6"/>
  <c r="M76" i="6"/>
  <c r="M72" i="6"/>
  <c r="M56" i="6"/>
  <c r="M52" i="6"/>
  <c r="M48" i="6"/>
  <c r="M44" i="6"/>
  <c r="M40" i="6"/>
  <c r="M24" i="6"/>
  <c r="M20" i="6"/>
  <c r="M204" i="6"/>
  <c r="M200" i="6"/>
  <c r="M196" i="6"/>
  <c r="M188" i="6"/>
  <c r="M176" i="6"/>
  <c r="M170" i="6"/>
  <c r="M162" i="6"/>
  <c r="M153" i="6"/>
  <c r="M143" i="6"/>
  <c r="M139" i="6"/>
  <c r="M115" i="6"/>
  <c r="M101" i="6"/>
  <c r="M91" i="6"/>
  <c r="M85" i="6"/>
  <c r="M75" i="6"/>
  <c r="M65" i="6"/>
  <c r="M57" i="6"/>
  <c r="M53" i="6"/>
  <c r="M49" i="6"/>
  <c r="M45" i="6"/>
  <c r="M41" i="6"/>
  <c r="M25" i="6"/>
  <c r="M21" i="6"/>
  <c r="M17" i="6"/>
  <c r="M205" i="6"/>
  <c r="M201" i="6"/>
  <c r="M197" i="6"/>
  <c r="M187" i="6"/>
  <c r="M175" i="6"/>
  <c r="M163" i="6"/>
  <c r="M157" i="6"/>
  <c r="M152" i="6"/>
  <c r="M140" i="6"/>
  <c r="M122" i="6"/>
  <c r="M114" i="6"/>
  <c r="M108" i="6"/>
  <c r="M98" i="6"/>
  <c r="M86" i="6"/>
  <c r="M82" i="6"/>
  <c r="M74" i="6"/>
  <c r="M64" i="6"/>
  <c r="M54" i="6"/>
  <c r="M50" i="6"/>
  <c r="M46" i="6"/>
  <c r="M42" i="6"/>
  <c r="M26" i="6"/>
  <c r="M22" i="6"/>
  <c r="M18" i="6"/>
  <c r="M202" i="6"/>
  <c r="M198" i="6"/>
  <c r="M192" i="6"/>
  <c r="M186" i="6"/>
  <c r="M174" i="6"/>
  <c r="M166" i="6"/>
  <c r="M160" i="6"/>
  <c r="M145" i="6"/>
  <c r="M141" i="6"/>
  <c r="M137" i="6"/>
  <c r="M113" i="6"/>
  <c r="M99" i="6"/>
  <c r="M87" i="6"/>
  <c r="M83" i="6"/>
  <c r="M73" i="6"/>
  <c r="M63" i="6"/>
  <c r="M55" i="6"/>
  <c r="M51" i="6"/>
  <c r="M47" i="6"/>
  <c r="M43" i="6"/>
  <c r="M35" i="6"/>
  <c r="M23" i="6"/>
  <c r="M19" i="6"/>
  <c r="M123" i="6"/>
  <c r="M147" i="6"/>
  <c r="M151" i="6"/>
  <c r="M167" i="6"/>
  <c r="M179" i="6"/>
  <c r="M183" i="6"/>
  <c r="M189" i="6"/>
  <c r="M195" i="6"/>
  <c r="M95" i="6"/>
  <c r="M103" i="6"/>
  <c r="M107" i="6"/>
  <c r="M111" i="6"/>
  <c r="M119" i="6"/>
  <c r="M127" i="6"/>
  <c r="M131" i="6"/>
  <c r="M135" i="6"/>
  <c r="M171" i="6"/>
  <c r="M173" i="6"/>
  <c r="M109" i="6"/>
  <c r="M185" i="6"/>
  <c r="M161" i="6"/>
  <c r="M133" i="6"/>
  <c r="M125" i="6"/>
  <c r="M117" i="6"/>
  <c r="M158" i="6"/>
  <c r="M142" i="6"/>
  <c r="M102" i="6"/>
  <c r="M92" i="6"/>
  <c r="M80" i="6"/>
  <c r="M70" i="6"/>
  <c r="M66" i="6"/>
  <c r="M60" i="6"/>
  <c r="M184" i="6"/>
  <c r="M169" i="6"/>
  <c r="M105" i="6"/>
  <c r="M181" i="6"/>
  <c r="M149" i="6"/>
  <c r="M129" i="6"/>
  <c r="M121" i="6"/>
  <c r="M97" i="6"/>
  <c r="M150" i="6"/>
  <c r="M110" i="6"/>
  <c r="M94" i="6"/>
  <c r="M88" i="6"/>
  <c r="M78" i="6"/>
  <c r="M68" i="6"/>
  <c r="M62" i="6"/>
  <c r="M58" i="6"/>
  <c r="M190" i="6"/>
  <c r="M180" i="6"/>
  <c r="M168" i="6"/>
  <c r="M156" i="6"/>
  <c r="M136" i="6"/>
  <c r="M124" i="6"/>
  <c r="M116" i="6"/>
  <c r="M100" i="6"/>
  <c r="M93" i="6"/>
  <c r="M81" i="6"/>
  <c r="M77" i="6"/>
  <c r="M69" i="6"/>
  <c r="M61" i="6"/>
  <c r="M39" i="6"/>
  <c r="M33" i="6"/>
  <c r="M29" i="6"/>
  <c r="M15" i="6"/>
  <c r="M11" i="6"/>
  <c r="M178" i="6"/>
  <c r="M138" i="6"/>
  <c r="M130" i="6"/>
  <c r="M38" i="6"/>
  <c r="M34" i="6"/>
  <c r="M30" i="6"/>
  <c r="M16" i="6"/>
  <c r="M12" i="6"/>
  <c r="M172" i="6"/>
  <c r="M164" i="6"/>
  <c r="M148" i="6"/>
  <c r="M132" i="6"/>
  <c r="M120" i="6"/>
  <c r="M104" i="6"/>
  <c r="M96" i="6"/>
  <c r="M89" i="6"/>
  <c r="M79" i="6"/>
  <c r="M71" i="6"/>
  <c r="M67" i="6"/>
  <c r="M59" i="6"/>
  <c r="M37" i="6"/>
  <c r="M31" i="6"/>
  <c r="M27" i="6"/>
  <c r="M13" i="6"/>
  <c r="M182" i="6"/>
  <c r="M146" i="6"/>
  <c r="M134" i="6"/>
  <c r="M126" i="6"/>
  <c r="M36" i="6"/>
  <c r="M32" i="6"/>
  <c r="M28" i="6"/>
  <c r="M14" i="6"/>
  <c r="M10" i="6"/>
  <c r="M9" i="6"/>
  <c r="M8" i="6"/>
  <c r="N193" i="6" l="1"/>
  <c r="N195" i="6"/>
  <c r="N194" i="6"/>
  <c r="N11" i="6"/>
  <c r="N13" i="6"/>
  <c r="N15" i="6"/>
  <c r="N17" i="6"/>
  <c r="N19" i="6"/>
  <c r="N21" i="6"/>
  <c r="N23" i="6"/>
  <c r="N25" i="6"/>
  <c r="N27" i="6"/>
  <c r="N29" i="6"/>
  <c r="N31" i="6"/>
  <c r="N33" i="6"/>
  <c r="N35" i="6"/>
  <c r="N37" i="6"/>
  <c r="N39" i="6"/>
  <c r="N41" i="6"/>
  <c r="N43" i="6"/>
  <c r="N45" i="6"/>
  <c r="N47" i="6"/>
  <c r="N49" i="6"/>
  <c r="N51" i="6"/>
  <c r="N53" i="6"/>
  <c r="N55" i="6"/>
  <c r="N57" i="6"/>
  <c r="N59" i="6"/>
  <c r="N61" i="6"/>
  <c r="N63" i="6"/>
  <c r="N65" i="6"/>
  <c r="N67" i="6"/>
  <c r="N69" i="6"/>
  <c r="N71" i="6"/>
  <c r="N73" i="6"/>
  <c r="N75" i="6"/>
  <c r="N77" i="6"/>
  <c r="N79" i="6"/>
  <c r="N81" i="6"/>
  <c r="N83" i="6"/>
  <c r="N85" i="6"/>
  <c r="N87" i="6"/>
  <c r="N89" i="6"/>
  <c r="N91" i="6"/>
  <c r="N93" i="6"/>
  <c r="N188" i="6"/>
  <c r="N190" i="6"/>
  <c r="N192" i="6"/>
  <c r="N196" i="6"/>
  <c r="N198" i="6"/>
  <c r="N200" i="6"/>
  <c r="N202" i="6"/>
  <c r="N204" i="6"/>
  <c r="N96" i="6"/>
  <c r="N100" i="6"/>
  <c r="N104" i="6"/>
  <c r="N108" i="6"/>
  <c r="N112" i="6"/>
  <c r="N116" i="6"/>
  <c r="N120" i="6"/>
  <c r="N124" i="6"/>
  <c r="N128" i="6"/>
  <c r="N132" i="6"/>
  <c r="N136" i="6"/>
  <c r="N140" i="6"/>
  <c r="N144" i="6"/>
  <c r="N148" i="6"/>
  <c r="N152" i="6"/>
  <c r="N156" i="6"/>
  <c r="N160" i="6"/>
  <c r="N164" i="6"/>
  <c r="N168" i="6"/>
  <c r="N172" i="6"/>
  <c r="N176" i="6"/>
  <c r="N180" i="6"/>
  <c r="N184" i="6"/>
  <c r="N10" i="6"/>
  <c r="N14" i="6"/>
  <c r="N18" i="6"/>
  <c r="N22" i="6"/>
  <c r="N26" i="6"/>
  <c r="N30" i="6"/>
  <c r="N34" i="6"/>
  <c r="N38" i="6"/>
  <c r="N42" i="6"/>
  <c r="N46" i="6"/>
  <c r="N50" i="6"/>
  <c r="N54" i="6"/>
  <c r="N58" i="6"/>
  <c r="N62" i="6"/>
  <c r="N66" i="6"/>
  <c r="N70" i="6"/>
  <c r="N74" i="6"/>
  <c r="N78" i="6"/>
  <c r="N82" i="6"/>
  <c r="N86" i="6"/>
  <c r="N90" i="6"/>
  <c r="N94" i="6"/>
  <c r="N203" i="6"/>
  <c r="N199" i="6"/>
  <c r="N191" i="6"/>
  <c r="N187" i="6"/>
  <c r="N183" i="6"/>
  <c r="N179" i="6"/>
  <c r="N175" i="6"/>
  <c r="N171" i="6"/>
  <c r="N167" i="6"/>
  <c r="N163" i="6"/>
  <c r="N159" i="6"/>
  <c r="N155" i="6"/>
  <c r="N151" i="6"/>
  <c r="N147" i="6"/>
  <c r="N143" i="6"/>
  <c r="N139" i="6"/>
  <c r="N135" i="6"/>
  <c r="N131" i="6"/>
  <c r="N127" i="6"/>
  <c r="N123" i="6"/>
  <c r="N119" i="6"/>
  <c r="N115" i="6"/>
  <c r="N111" i="6"/>
  <c r="N107" i="6"/>
  <c r="N103" i="6"/>
  <c r="N99" i="6"/>
  <c r="N95" i="6"/>
  <c r="N98" i="6"/>
  <c r="N102" i="6"/>
  <c r="N106" i="6"/>
  <c r="N110" i="6"/>
  <c r="N114" i="6"/>
  <c r="N118" i="6"/>
  <c r="N122" i="6"/>
  <c r="N126" i="6"/>
  <c r="N130" i="6"/>
  <c r="N134" i="6"/>
  <c r="N138" i="6"/>
  <c r="N142" i="6"/>
  <c r="N146" i="6"/>
  <c r="N150" i="6"/>
  <c r="N154" i="6"/>
  <c r="N158" i="6"/>
  <c r="N162" i="6"/>
  <c r="N166" i="6"/>
  <c r="N170" i="6"/>
  <c r="N174" i="6"/>
  <c r="N178" i="6"/>
  <c r="N182" i="6"/>
  <c r="N186" i="6"/>
  <c r="N12" i="6"/>
  <c r="N16" i="6"/>
  <c r="N20" i="6"/>
  <c r="N24" i="6"/>
  <c r="N28" i="6"/>
  <c r="N32" i="6"/>
  <c r="N36" i="6"/>
  <c r="N40" i="6"/>
  <c r="N44" i="6"/>
  <c r="N52" i="6"/>
  <c r="N60" i="6"/>
  <c r="N68" i="6"/>
  <c r="N76" i="6"/>
  <c r="N84" i="6"/>
  <c r="N92" i="6"/>
  <c r="N201" i="6"/>
  <c r="N185" i="6"/>
  <c r="N177" i="6"/>
  <c r="N169" i="6"/>
  <c r="N161" i="6"/>
  <c r="N153" i="6"/>
  <c r="N145" i="6"/>
  <c r="N137" i="6"/>
  <c r="N129" i="6"/>
  <c r="N121" i="6"/>
  <c r="N113" i="6"/>
  <c r="N105" i="6"/>
  <c r="N97" i="6"/>
  <c r="N48" i="6"/>
  <c r="N56" i="6"/>
  <c r="N64" i="6"/>
  <c r="N72" i="6"/>
  <c r="N80" i="6"/>
  <c r="N88" i="6"/>
  <c r="N205" i="6"/>
  <c r="N197" i="6"/>
  <c r="N189" i="6"/>
  <c r="N181" i="6"/>
  <c r="N173" i="6"/>
  <c r="N165" i="6"/>
  <c r="N157" i="6"/>
  <c r="N149" i="6"/>
  <c r="N141" i="6"/>
  <c r="N133" i="6"/>
  <c r="N125" i="6"/>
  <c r="N117" i="6"/>
  <c r="N109" i="6"/>
  <c r="N101" i="6"/>
  <c r="N218" i="6"/>
  <c r="N206" i="6"/>
  <c r="N211" i="6"/>
  <c r="N216" i="6"/>
  <c r="N217" i="6"/>
  <c r="N207" i="6"/>
  <c r="N208" i="6"/>
  <c r="N213" i="6"/>
  <c r="N212" i="6"/>
  <c r="N210" i="6"/>
  <c r="N209" i="6"/>
  <c r="N214" i="6"/>
  <c r="N215" i="6"/>
  <c r="N220" i="6"/>
  <c r="N219" i="6"/>
  <c r="N8" i="6"/>
  <c r="N325" i="6"/>
  <c r="N298" i="6"/>
  <c r="N318" i="6"/>
  <c r="N326" i="6"/>
  <c r="N221" i="6"/>
  <c r="N359" i="6"/>
  <c r="N377" i="6"/>
  <c r="N386" i="6"/>
  <c r="N248" i="6"/>
  <c r="N294" i="6"/>
  <c r="N252" i="6"/>
  <c r="N348" i="6"/>
  <c r="N228" i="6"/>
  <c r="N257" i="6"/>
  <c r="N349" i="6"/>
  <c r="N236" i="6"/>
  <c r="N383" i="6"/>
  <c r="N365" i="6"/>
  <c r="N309" i="6"/>
  <c r="N394" i="6"/>
  <c r="N251" i="6"/>
  <c r="N238" i="6"/>
  <c r="N328" i="6"/>
  <c r="N395" i="6"/>
  <c r="N240" i="6"/>
  <c r="N314" i="6"/>
  <c r="N321" i="6"/>
  <c r="N249" i="6"/>
  <c r="N330" i="6"/>
  <c r="N367" i="6"/>
  <c r="N274" i="6"/>
  <c r="N317" i="6"/>
  <c r="N246" i="6"/>
  <c r="N9" i="6"/>
  <c r="N265" i="6"/>
  <c r="N239" i="6"/>
  <c r="N350" i="6"/>
  <c r="N310" i="6"/>
  <c r="N290" i="6"/>
  <c r="N360" i="6"/>
  <c r="N263" i="6"/>
  <c r="N302" i="6"/>
  <c r="N363" i="6"/>
  <c r="N283" i="6"/>
  <c r="N354" i="6"/>
  <c r="N271" i="6"/>
  <c r="N289" i="6"/>
  <c r="N225" i="6"/>
  <c r="N333" i="6"/>
  <c r="N256" i="6"/>
  <c r="N401" i="6"/>
  <c r="N384" i="6"/>
  <c r="N233" i="6"/>
  <c r="N282" i="6"/>
  <c r="N267" i="6"/>
  <c r="N237" i="6"/>
  <c r="N319" i="6"/>
  <c r="N355" i="6"/>
  <c r="N404" i="6"/>
  <c r="N244" i="6"/>
  <c r="N253" i="6"/>
  <c r="N362" i="6"/>
  <c r="N227" i="6"/>
  <c r="N295" i="6"/>
  <c r="N381" i="6"/>
  <c r="N291" i="6"/>
  <c r="N368" i="6"/>
  <c r="N269" i="6"/>
  <c r="N288" i="6"/>
  <c r="N339" i="6"/>
  <c r="N323" i="6"/>
  <c r="N391" i="6"/>
  <c r="N255" i="6"/>
  <c r="N341" i="6"/>
  <c r="N300" i="6"/>
  <c r="N311" i="6"/>
  <c r="N312" i="6"/>
  <c r="N387" i="6"/>
  <c r="N358" i="6"/>
  <c r="N279" i="6"/>
  <c r="N232" i="6"/>
  <c r="N316" i="6"/>
  <c r="N393" i="6"/>
  <c r="N258" i="6"/>
  <c r="N373" i="6"/>
  <c r="N352" i="6"/>
  <c r="N307" i="6"/>
  <c r="N356" i="6"/>
  <c r="N242" i="6"/>
  <c r="N385" i="6"/>
  <c r="N280" i="6"/>
  <c r="N375" i="6"/>
  <c r="N331" i="6"/>
  <c r="N272" i="6"/>
  <c r="N390" i="6"/>
  <c r="N346" i="6"/>
  <c r="N287" i="6"/>
  <c r="N234" i="6"/>
  <c r="N345" i="6"/>
  <c r="N301" i="6"/>
  <c r="N261" i="6"/>
  <c r="N322" i="6"/>
  <c r="N275" i="6"/>
  <c r="N400" i="6"/>
  <c r="N247" i="6"/>
  <c r="N231" i="6"/>
  <c r="N369" i="6"/>
  <c r="N320" i="6"/>
  <c r="N382" i="6"/>
  <c r="N245" i="6"/>
  <c r="N285" i="6"/>
  <c r="N329" i="6"/>
  <c r="N266" i="6"/>
  <c r="N324" i="6"/>
  <c r="N374" i="6"/>
  <c r="N224" i="6"/>
  <c r="N278" i="6"/>
  <c r="N336" i="6"/>
  <c r="N403" i="6"/>
  <c r="N353" i="6"/>
  <c r="N364" i="6"/>
  <c r="N397" i="6"/>
  <c r="N380" i="6"/>
  <c r="N306" i="6"/>
  <c r="N344" i="6"/>
  <c r="N259" i="6"/>
  <c r="N379" i="6"/>
  <c r="N347" i="6"/>
  <c r="N304" i="6"/>
  <c r="N262" i="6"/>
  <c r="N402" i="6"/>
  <c r="N370" i="6"/>
  <c r="N335" i="6"/>
  <c r="N292" i="6"/>
  <c r="N250" i="6"/>
  <c r="N337" i="6"/>
  <c r="N305" i="6"/>
  <c r="N273" i="6"/>
  <c r="N241" i="6"/>
  <c r="N293" i="6"/>
  <c r="N276" i="6"/>
  <c r="N378" i="6"/>
  <c r="N315" i="6"/>
  <c r="N361" i="6"/>
  <c r="N372" i="6"/>
  <c r="N226" i="6"/>
  <c r="N254" i="6"/>
  <c r="N376" i="6"/>
  <c r="N277" i="6"/>
  <c r="N223" i="6"/>
  <c r="N340" i="6"/>
  <c r="N371" i="6"/>
  <c r="N270" i="6"/>
  <c r="N338" i="6"/>
  <c r="N332" i="6"/>
  <c r="N357" i="6"/>
  <c r="N392" i="6"/>
  <c r="N281" i="6"/>
  <c r="N260" i="6"/>
  <c r="N366" i="6"/>
  <c r="N299" i="6"/>
  <c r="N399" i="6"/>
  <c r="N334" i="6"/>
  <c r="N396" i="6"/>
  <c r="N222" i="6"/>
  <c r="N268" i="6"/>
  <c r="N296" i="6"/>
  <c r="N343" i="6"/>
  <c r="N243" i="6"/>
  <c r="N389" i="6"/>
  <c r="N264" i="6"/>
  <c r="N388" i="6"/>
  <c r="N303" i="6"/>
  <c r="N229" i="6"/>
  <c r="N313" i="6"/>
  <c r="N398" i="6"/>
  <c r="N230" i="6"/>
  <c r="N342" i="6"/>
  <c r="N327" i="6"/>
  <c r="N297" i="6"/>
  <c r="N308" i="6"/>
  <c r="N235" i="6"/>
  <c r="N351" i="6"/>
  <c r="N284" i="6"/>
  <c r="N286" i="6"/>
</calcChain>
</file>

<file path=xl/sharedStrings.xml><?xml version="1.0" encoding="utf-8"?>
<sst xmlns="http://schemas.openxmlformats.org/spreadsheetml/2006/main" count="1360" uniqueCount="383">
  <si>
    <t>LABEL</t>
  </si>
  <si>
    <t>MODELO</t>
  </si>
  <si>
    <t>TP4400-4SPP25</t>
  </si>
  <si>
    <t>BITACORA DE INVENTARIO</t>
  </si>
  <si>
    <t>CATEGORIA</t>
  </si>
  <si>
    <t>ZIPPY COMPACT 1000mAh 3S 3C</t>
  </si>
  <si>
    <t xml:space="preserve">NOMBRE DE ARTICULO </t>
  </si>
  <si>
    <t>ESTADO</t>
  </si>
  <si>
    <t>ZI-01</t>
  </si>
  <si>
    <t>ZI-02</t>
  </si>
  <si>
    <t>BATERIAS</t>
  </si>
  <si>
    <t>Z1-03</t>
  </si>
  <si>
    <t>Z1-04</t>
  </si>
  <si>
    <t>PH4-D1</t>
  </si>
  <si>
    <t>BATERIA DE VUELO INTELIGENTE PHANTOM4</t>
  </si>
  <si>
    <t>082AD4T0310UEM</t>
  </si>
  <si>
    <t>PH4-5350m</t>
  </si>
  <si>
    <t>PH4-D2</t>
  </si>
  <si>
    <t>082AD7103100WQ</t>
  </si>
  <si>
    <t>PH4-D3</t>
  </si>
  <si>
    <t>082AD5P03112RS</t>
  </si>
  <si>
    <t>LIFE-01</t>
  </si>
  <si>
    <t>DY-01</t>
  </si>
  <si>
    <t>N/A</t>
  </si>
  <si>
    <t>DY-02</t>
  </si>
  <si>
    <t>DY-03</t>
  </si>
  <si>
    <t>DY-04</t>
  </si>
  <si>
    <t>MULTISTAR-01</t>
  </si>
  <si>
    <t>MULTISTAR 4S10000mAh</t>
  </si>
  <si>
    <t>GENERICO</t>
  </si>
  <si>
    <t>MULTISTAR-02</t>
  </si>
  <si>
    <t>XMULTISTAR-01</t>
  </si>
  <si>
    <t>XMULTISTAR-02</t>
  </si>
  <si>
    <t>MULTISTAR-03</t>
  </si>
  <si>
    <t>MULTISTAR-04</t>
  </si>
  <si>
    <t>CONTROL REMOTO TARANIS X9D</t>
  </si>
  <si>
    <t>X9DP021909B01</t>
  </si>
  <si>
    <t>CONTROL</t>
  </si>
  <si>
    <t>X9D</t>
  </si>
  <si>
    <t>CONTIENE CONTROL, CARGADOR Y ANTENA</t>
  </si>
  <si>
    <t>X9DP024084B01</t>
  </si>
  <si>
    <t>CONTIENE CONTROL Y CARGADOR, ANTENA PENDIENTE</t>
  </si>
  <si>
    <t>CONTROL REMOTO TURNIGY FS-I6s</t>
  </si>
  <si>
    <t>H4377476</t>
  </si>
  <si>
    <t>FS-I6s</t>
  </si>
  <si>
    <t>SOLO HAY CONTROL, FALTA CARGADOR Y ANTENA</t>
  </si>
  <si>
    <t>CONTROL REMOTO PHANTOM 4</t>
  </si>
  <si>
    <t>11805A-G3001510</t>
  </si>
  <si>
    <t>GL300C</t>
  </si>
  <si>
    <t>TARANIS-01</t>
  </si>
  <si>
    <t>TARANIS-02</t>
  </si>
  <si>
    <t>TURNIGY-01</t>
  </si>
  <si>
    <t>PHANTOM4-01</t>
  </si>
  <si>
    <t>USB-UM-01</t>
  </si>
  <si>
    <t>CABLE USB UNIVERSAL-microA</t>
  </si>
  <si>
    <t>CABLES</t>
  </si>
  <si>
    <t>USB-UM-02</t>
  </si>
  <si>
    <t>USB-UM-03</t>
  </si>
  <si>
    <t>USB-UM-04</t>
  </si>
  <si>
    <t>USB-UM-05</t>
  </si>
  <si>
    <t>USB-UM-06</t>
  </si>
  <si>
    <t>USB-Um-01</t>
  </si>
  <si>
    <t>CABLE USB UNIVERSAL-microB</t>
  </si>
  <si>
    <t>USB-Um-02</t>
  </si>
  <si>
    <t>HDMI-Mm-01</t>
  </si>
  <si>
    <t>CABLE HDMI UNIVERSAL-micro</t>
  </si>
  <si>
    <t>Feiyu 3D PRO-01</t>
  </si>
  <si>
    <t>GIMBAL FEIYU MINI 3D PRO</t>
  </si>
  <si>
    <t>GIMBAL</t>
  </si>
  <si>
    <t>MINI 3D PRO</t>
  </si>
  <si>
    <t>Feiyu 3D - 01</t>
  </si>
  <si>
    <t>GIMBAL FEIYU MINI 3D</t>
  </si>
  <si>
    <t>MINI 3D</t>
  </si>
  <si>
    <t>GPH3-01</t>
  </si>
  <si>
    <t xml:space="preserve">CAMARA GOPRO HERO 3 </t>
  </si>
  <si>
    <t>HD3WA0814B4B711</t>
  </si>
  <si>
    <t>CAMARA</t>
  </si>
  <si>
    <t>CHDHF-301</t>
  </si>
  <si>
    <t>INCLUYE BATERIA</t>
  </si>
  <si>
    <t>SONY NEX-7</t>
  </si>
  <si>
    <t>CAMARA SONY NEX-7 24.3 MPX</t>
  </si>
  <si>
    <t>NEX-7</t>
  </si>
  <si>
    <t>INCLUYE CARGADOR , BATERIA MODELO NP-FW50 Y UNA DE REPUESTO</t>
  </si>
  <si>
    <t>L1-NEX-7</t>
  </si>
  <si>
    <t>LENTE OPTICAL STEADYSHOT FOR SONY NEX-7</t>
  </si>
  <si>
    <t>0.25m/0.82ft E 3.5-5.6/18-55 OSS</t>
  </si>
  <si>
    <t>CARGST-01</t>
  </si>
  <si>
    <t>CARGADOR BATERIAS TIPO C MARCA STEREN</t>
  </si>
  <si>
    <t>PO-16581</t>
  </si>
  <si>
    <t>CARGADOR</t>
  </si>
  <si>
    <t>CRG-500</t>
  </si>
  <si>
    <t>CONTIENE 4 BATERIAS TIPO C</t>
  </si>
  <si>
    <t>FPVScreen-01</t>
  </si>
  <si>
    <t>RC801</t>
  </si>
  <si>
    <t>FPVScreen-02</t>
  </si>
  <si>
    <t>FPVBat-01</t>
  </si>
  <si>
    <t>BATERIA PARA MONITOR BLACK PEARL</t>
  </si>
  <si>
    <t>FSBP01</t>
  </si>
  <si>
    <t>FPVBat-02</t>
  </si>
  <si>
    <t>FPVBat-03</t>
  </si>
  <si>
    <t>FPVBat-04</t>
  </si>
  <si>
    <t>FPVBat-05</t>
  </si>
  <si>
    <t>FPVBat-06</t>
  </si>
  <si>
    <t>LIFE 1500mAh 1C 9.9V</t>
  </si>
  <si>
    <t>THUNDER-POWER 4S 4400mAh G8 Pro Lite</t>
  </si>
  <si>
    <t>GSC-DD-Y-0041</t>
  </si>
  <si>
    <t>NO VISIBLE</t>
  </si>
  <si>
    <t>LATTITUDE 7202</t>
  </si>
  <si>
    <t>CON CARGADOR, INCLUIDA EN EL DELTA DRONE</t>
  </si>
  <si>
    <t>CH-DD-Y-0041</t>
  </si>
  <si>
    <t>MULTIMETRO-01</t>
  </si>
  <si>
    <t>MULTIMETRO TRUPER MUT-33</t>
  </si>
  <si>
    <t>HERRAMIENTA</t>
  </si>
  <si>
    <t>MUT-33</t>
  </si>
  <si>
    <t>DESARMADORES-01</t>
  </si>
  <si>
    <t>JUEGO DE DESARMADORES MARCA TRUPER JOY-6</t>
  </si>
  <si>
    <t>JOY-6</t>
  </si>
  <si>
    <t>ACELERADOR DE ADHESIVOS XINOVA A12</t>
  </si>
  <si>
    <t>OTROS</t>
  </si>
  <si>
    <t>A12</t>
  </si>
  <si>
    <t>ADHESIVO INSTANTANEO LOCTITE 460</t>
  </si>
  <si>
    <t>LOCTITE 460</t>
  </si>
  <si>
    <t>THREAD LOCKER TL-680</t>
  </si>
  <si>
    <t>TL-680</t>
  </si>
  <si>
    <t>THREAD LOCKER TL-242</t>
  </si>
  <si>
    <t>TL-242</t>
  </si>
  <si>
    <t>ADHESIVO EN SPRAY SCOTCH SUPER 77</t>
  </si>
  <si>
    <t>SUPER 77</t>
  </si>
  <si>
    <t>REMOVEDOR DE POLVO OFFICE DEPOT (3)</t>
  </si>
  <si>
    <t>PEGAMENTO UHU UNIVERSAL</t>
  </si>
  <si>
    <t>BALANCER-01</t>
  </si>
  <si>
    <t>BALANCER TRU-SPIN PROP MARCA "ZEN JIN DA"</t>
  </si>
  <si>
    <t>TRU SPIN</t>
  </si>
  <si>
    <t>JUEGO DE SUJECION (PINZAS Y LUPA) STEREN</t>
  </si>
  <si>
    <t>HER-700</t>
  </si>
  <si>
    <t>INSUMOS</t>
  </si>
  <si>
    <t>2.80 m DISPONIBLE</t>
  </si>
  <si>
    <t>CAUTIN-01</t>
  </si>
  <si>
    <t>CAUTIN MARCA WELLER 25W</t>
  </si>
  <si>
    <t>SP25n</t>
  </si>
  <si>
    <t>BASE CAUTIN MARCA STEREN</t>
  </si>
  <si>
    <t>PASTA P/SOLDAR MARCA STEREN</t>
  </si>
  <si>
    <t>SOL-060</t>
  </si>
  <si>
    <t>PUNTOS DE CONTROL LONA</t>
  </si>
  <si>
    <t xml:space="preserve">KIT PRIMEROS AUXILIOS </t>
  </si>
  <si>
    <t xml:space="preserve">PUNTOS DE CONTROL PLASTICO </t>
  </si>
  <si>
    <t>BATTERY MEDIC SYSTEM (2S-6S)</t>
  </si>
  <si>
    <t>MEDIDOR DE VOLTAJE HOBBYKING</t>
  </si>
  <si>
    <t>CINTA ADHESIVA TIPO MASKIN 1.5 cm</t>
  </si>
  <si>
    <t>CINTA DOBLE ADHESIVO 2 cm</t>
  </si>
  <si>
    <t>VELCRO C/PEGAMENTO 2 PULGADAS</t>
  </si>
  <si>
    <t>CINTA VELCRO C/PEGAMENTO 1.5 CM</t>
  </si>
  <si>
    <t>TIRAS VELCRO 20X2 cm</t>
  </si>
  <si>
    <t>70 CM. DISPONIBLES</t>
  </si>
  <si>
    <t>TIRAS VELCRO INDUSTRIALES 25cmX1pulgada</t>
  </si>
  <si>
    <t>PAQUETE CINTILLOS 15 cm</t>
  </si>
  <si>
    <t>PAQUETE CINTILLOS 10 cm</t>
  </si>
  <si>
    <t>SUJETADORES 2.2 CM</t>
  </si>
  <si>
    <t>JUEGO LLAVES ALLEN MILIMETRICAS</t>
  </si>
  <si>
    <t>ALLEN-MM</t>
  </si>
  <si>
    <t>JUEGO LLANES ALLEN POR PULGADA</t>
  </si>
  <si>
    <t>ALLEN-IN</t>
  </si>
  <si>
    <t xml:space="preserve">PINZAS TIPO PUNTA MARCA TRUPER </t>
  </si>
  <si>
    <t>PINZAS-01</t>
  </si>
  <si>
    <t>PINZAS-02</t>
  </si>
  <si>
    <t>PINZAS TIPO PUNTA PARA CORTAR CABLE MARCA TRUPER</t>
  </si>
  <si>
    <t>PINZAS TIPO SUJETADOR PARA CORTAR CABLE</t>
  </si>
  <si>
    <t>PINZAS-03</t>
  </si>
  <si>
    <t xml:space="preserve">NAVAJA TIPO CUTTER MARCA TRUPER </t>
  </si>
  <si>
    <t>CUTTER-01</t>
  </si>
  <si>
    <t>NAVAJA TIPO CUTTER MARCA PRETUL</t>
  </si>
  <si>
    <t>CUTTER-02</t>
  </si>
  <si>
    <t>JUEGO DE LLAVES ALLEN MARCA TURNIGY</t>
  </si>
  <si>
    <t>CINTA DE AISLAR</t>
  </si>
  <si>
    <t>JUEGO DE NAVAJAS PARA CUTTER</t>
  </si>
  <si>
    <t>CINTA METRICA TOOLCRAFT 3M.</t>
  </si>
  <si>
    <t>TC1488</t>
  </si>
  <si>
    <t>CINTAM-01</t>
  </si>
  <si>
    <t>CINTA CON LEYENDA "PROHIBIDO"</t>
  </si>
  <si>
    <t>CINTA CON LEYENDA "FRAGIL"</t>
  </si>
  <si>
    <t>SEGUETA-01</t>
  </si>
  <si>
    <t>SEGUETA-02</t>
  </si>
  <si>
    <t>MANGO PARA SEGUETA COLOR NEGRO 12''</t>
  </si>
  <si>
    <t>MANGO PARA SEGUETA COLOR NARANJA 6''</t>
  </si>
  <si>
    <t>MARTILLO-01</t>
  </si>
  <si>
    <t>MARTILLO UÑA CURVA MARCA WOLFFOX</t>
  </si>
  <si>
    <t>WF6416</t>
  </si>
  <si>
    <t>GG-01</t>
  </si>
  <si>
    <t xml:space="preserve">PISTOLA SILICON MARCA STANLEY GR25 </t>
  </si>
  <si>
    <t>BARRAS SILICON 4''X0.45'' MARCA STANLEY</t>
  </si>
  <si>
    <t>LIJADORA RECTANGULAR MARCA TRUPPER 15151</t>
  </si>
  <si>
    <t>LIJADORA TRIANGULAR MARCA TRUPPER 15133</t>
  </si>
  <si>
    <t>LIJADORA CIRCULAR MARCA TRUPER</t>
  </si>
  <si>
    <t>HOJAS PARA LIJAR (MOD. 80, 220 320)</t>
  </si>
  <si>
    <t>TIJERAS MARCA OFFICE DEPOT 20 CM.</t>
  </si>
  <si>
    <t>1 PULGADA</t>
  </si>
  <si>
    <t>CIENTO DE CLAVOS CONCRETO 1''</t>
  </si>
  <si>
    <t>CIENTO DE  CLAVOS MADERA 1''</t>
  </si>
  <si>
    <t>CALCOMANIAS TAROT</t>
  </si>
  <si>
    <t>2 CM</t>
  </si>
  <si>
    <t xml:space="preserve">FOCO AHORRADOW 13 W </t>
  </si>
  <si>
    <t xml:space="preserve">CABLE DE SERVO TIPO FUTABA MACHO-HEMBRA TWISTED 30 CM. </t>
  </si>
  <si>
    <t>CABLE DE SERVO TIPO FUTABA MACHO-HEMBRA RECTOS 15 CM.</t>
  </si>
  <si>
    <t xml:space="preserve">CABLE DE SERVO TIPO FUTABA MACHO-HEMBRA TWISTED 15 CM. </t>
  </si>
  <si>
    <t>XT90 HEMBRA</t>
  </si>
  <si>
    <t>ELECTRONICA</t>
  </si>
  <si>
    <t>CONECTOR JST-XH MACHO</t>
  </si>
  <si>
    <t>CONECTOR JST-XH HEMBRA</t>
  </si>
  <si>
    <t>CONECTOR XT60 HEMBRA</t>
  </si>
  <si>
    <t>XT90 MACHO</t>
  </si>
  <si>
    <t>CONECTOR TP-FP 4S</t>
  </si>
  <si>
    <t>TERMINAL DE SERVO JR MACHO</t>
  </si>
  <si>
    <t>TERMINAL DE SERVO JR HEMBRA</t>
  </si>
  <si>
    <t>CONECTOR JST MACHO</t>
  </si>
  <si>
    <t>CONECTOR JST MACHO C/CABLE 10 CM.</t>
  </si>
  <si>
    <t>ADAPTADOR TAMILLA MACHO 4MM.</t>
  </si>
  <si>
    <t>CONECTOR TIPO BANANA GOLD 4 MM. HEMBRA</t>
  </si>
  <si>
    <t>CONECTOR TIPO BANANA GOLD 4 MM. MACHO</t>
  </si>
  <si>
    <t>CONECTOR TIPO BANANA GOLD 3 MM. HEMBRA</t>
  </si>
  <si>
    <t>CONECTOR TIPO BANANA GOLD 3 MM. MACHO</t>
  </si>
  <si>
    <t>CINTA TERMOFIT 7/16''</t>
  </si>
  <si>
    <t>CINTA TERMOFIT 3/16''</t>
  </si>
  <si>
    <t>97 cm. DISPONIBLE</t>
  </si>
  <si>
    <t>CONECTOR JR FUTABA DJI TWISTED 7 CM.</t>
  </si>
  <si>
    <t>ADAPTADOR P/CARGA PARALELO JR-XH</t>
  </si>
  <si>
    <t>PARALELO JR-XH</t>
  </si>
  <si>
    <t>CONECTOR BANANA-FUTABA P/CARGADOR</t>
  </si>
  <si>
    <t>CONECTOR BANANA-JST P/CARGADOR</t>
  </si>
  <si>
    <t>JST-XH 2S-6S-XX</t>
  </si>
  <si>
    <t>ADAPTADOR P/BATERIA JST-XH 2S-6S</t>
  </si>
  <si>
    <t>TP-FP-XX</t>
  </si>
  <si>
    <t>ADAPTADOR P/BATERIA TP-FP</t>
  </si>
  <si>
    <t>CABLE DE SILICON NEGRO 12AWG</t>
  </si>
  <si>
    <t>12AWG</t>
  </si>
  <si>
    <t>CABLE DE SILICON NEGRO 18AWG</t>
  </si>
  <si>
    <t>18AWG</t>
  </si>
  <si>
    <t>14AWG</t>
  </si>
  <si>
    <t>CABLE DE SILICON NEGRO 14AWG</t>
  </si>
  <si>
    <t>CABLE DE SILICON NEGRO 20AWG</t>
  </si>
  <si>
    <t>20AWG</t>
  </si>
  <si>
    <t>NEGRO: 4.80 M. DISPONIBLES     ROJO: 4.80 M. DISPONIBLES</t>
  </si>
  <si>
    <t>NEGRO: 1.65 M. DISPONIBLES     ROJO: 2.65 M. DISPONIBLES</t>
  </si>
  <si>
    <t>NEGRO: 2 M. DISPONIBLES     ROJO: 2 M. DISPONIBLES</t>
  </si>
  <si>
    <t>24AWG</t>
  </si>
  <si>
    <t>CABLE DE SILICON NEGRO 24AWG</t>
  </si>
  <si>
    <t>16AWG</t>
  </si>
  <si>
    <t>CABLE DE SILICON NEGRO 16AWG</t>
  </si>
  <si>
    <t>NEGRO: 2.50 M. DISPONIBLES     ROJO: 2.50 M. DISPONIBLES //SE USA EN EL POWER//</t>
  </si>
  <si>
    <t>NEGRO: 1.60 M. DISPONIBLES     ROJO: 1.6 M. DISPONIBLES //SE USAN EN LOS ESC//</t>
  </si>
  <si>
    <t>USB GIMBAL UNIVERSAL-MICRO</t>
  </si>
  <si>
    <t>GOMAS SUPRESORAS DE CHOQUE</t>
  </si>
  <si>
    <t>MICRO SD 8 GB MARCA KINGSTON CLASE 4</t>
  </si>
  <si>
    <t>MICRO SD 4 GB GENERICO CLASE 4</t>
  </si>
  <si>
    <t>ADAPTADOR MICRO SD A SD MARCA SONY</t>
  </si>
  <si>
    <t>SONY MICROSD</t>
  </si>
  <si>
    <t>BP-FS0132</t>
  </si>
  <si>
    <t>450000184-0</t>
  </si>
  <si>
    <t>297000074-0</t>
  </si>
  <si>
    <t>297000051-0</t>
  </si>
  <si>
    <t xml:space="preserve">SOPORTE DE BRAZO MARCA TAROT 680 ROJO 16 MM. </t>
  </si>
  <si>
    <t xml:space="preserve">SOPORTE DE BRAZO MARCA TAROT 680 NEGRO 16 MM. </t>
  </si>
  <si>
    <t>SOPORTE Y MONTURA DE BRAZO MARCA TAROT 680 NEGRO</t>
  </si>
  <si>
    <t>297000050-0</t>
  </si>
  <si>
    <t xml:space="preserve">MONTURA DE BRAZO TAROT 680 ROJO 16 MM. </t>
  </si>
  <si>
    <t>SOPORTE DE ALUMINIO TAROT 680 30 MM. X M2</t>
  </si>
  <si>
    <t>297000040-0</t>
  </si>
  <si>
    <t>PLATAFORMA DE ANTICHOQUE PARA CONTROLADOR DE VUELO</t>
  </si>
  <si>
    <t>450000048-0</t>
  </si>
  <si>
    <t>MONTURA DE MOTOR /ESC TAROT 680 NEGRO</t>
  </si>
  <si>
    <t>297000048-0</t>
  </si>
  <si>
    <t>MONTURA DE MOTOR /ESC TAROT 680 ROJO</t>
  </si>
  <si>
    <t>297000047-0</t>
  </si>
  <si>
    <t>GOMAS PARA PATAS 10 MM. TAROT</t>
  </si>
  <si>
    <t>297000054-0</t>
  </si>
  <si>
    <t>MONTURA ARO DE METAL C/GOMA 10 MM.</t>
  </si>
  <si>
    <t>297000090-0</t>
  </si>
  <si>
    <t>MASTIL GPS COLOR ROSA</t>
  </si>
  <si>
    <t>45000019X-0</t>
  </si>
  <si>
    <t>CASCOS TAROT 680</t>
  </si>
  <si>
    <t>297000067-0</t>
  </si>
  <si>
    <t>MONTURA MOVIL PARA PATAS</t>
  </si>
  <si>
    <t>297000041-0</t>
  </si>
  <si>
    <t>TRANSMISOR 5.8 G VIDEOLINK C/CABLES DE ALIMENTACION AVL58</t>
  </si>
  <si>
    <t>HARDWARE</t>
  </si>
  <si>
    <t>00C0207142</t>
  </si>
  <si>
    <t>ALV58</t>
  </si>
  <si>
    <t>00C0207279</t>
  </si>
  <si>
    <t>PORTA ANTENA C/4 TORNILLOS</t>
  </si>
  <si>
    <t>29235GP13-16</t>
  </si>
  <si>
    <t>ANTENA CONICA AOMWAY 5.8 G HELICOIDAL 11 dB.</t>
  </si>
  <si>
    <t>ANTENA AOMWAY FORMA TREBOL 5.8G ONMIDIRECCIONAL 3 dB.</t>
  </si>
  <si>
    <t>CABLE JR-MINI JST-XH</t>
  </si>
  <si>
    <t>KIT DE CABLES DJI</t>
  </si>
  <si>
    <t>DJI-LB-0X</t>
  </si>
  <si>
    <t xml:space="preserve">TREN RETRACTIL ELECTRICO </t>
  </si>
  <si>
    <t>EGEAR-01</t>
  </si>
  <si>
    <t>EGEAR-02</t>
  </si>
  <si>
    <t>INCOMPLETO, LE FALTAN PIEZAS</t>
  </si>
  <si>
    <t>CONTROLADOR DE VUELO PIXHAWK</t>
  </si>
  <si>
    <t>PENDIENTE</t>
  </si>
  <si>
    <t>MC111560451</t>
  </si>
  <si>
    <t>PixH-01</t>
  </si>
  <si>
    <t>INCLUYE BUZZER, BOTON DE SEGURIDAD, Y 2 SPLITTER</t>
  </si>
  <si>
    <t>PixH-02</t>
  </si>
  <si>
    <t>CONTROLADOR DE VUELO PIXHAWK (ARMADO)</t>
  </si>
  <si>
    <t>HEXACOPTER TAROT 680</t>
  </si>
  <si>
    <t>INCLUYE BUZZER, BOTON DE SEGURIDAD, Y 2 SPLITTER (ARMADO)</t>
  </si>
  <si>
    <t>RECEPTOR ACCST FRSKY-D4R II</t>
  </si>
  <si>
    <t>D4R II</t>
  </si>
  <si>
    <t>UBEC12V-0X</t>
  </si>
  <si>
    <t>X12 PRO UBEC 12V/4.5 A</t>
  </si>
  <si>
    <t>X12 PRO</t>
  </si>
  <si>
    <t>X3UBEC-01</t>
  </si>
  <si>
    <t>X3 UBEC 5V/3A</t>
  </si>
  <si>
    <t>X3UBEC</t>
  </si>
  <si>
    <t xml:space="preserve">RECEPTOR FRSKY D8R-XP 2.4 GHZ </t>
  </si>
  <si>
    <t>XYFD8TD8R</t>
  </si>
  <si>
    <t>D8R-XP</t>
  </si>
  <si>
    <t>FRSky D8R-XP</t>
  </si>
  <si>
    <t>FPV RADIO TELEMETRY GROUND STATION</t>
  </si>
  <si>
    <t>FPV-GCS-TX</t>
  </si>
  <si>
    <t>FPV-UAV-RX</t>
  </si>
  <si>
    <t>FPV RADIO TELEMETRY AIR MODULE</t>
  </si>
  <si>
    <t>PARES DE HELICES 13''X5° FIBRA DE CARBONO</t>
  </si>
  <si>
    <t>4''x0.45''</t>
  </si>
  <si>
    <t xml:space="preserve">CIENTO DE TORNILLOS DE CRUZ 2 CM. </t>
  </si>
  <si>
    <t>USB-UART ADAPTADOR GIMBAL</t>
  </si>
  <si>
    <t>TUBOS DE CARBONO 10mm. 75 cm. (3)</t>
  </si>
  <si>
    <t>BATERIA RECARGABLE WATSON B-4206</t>
  </si>
  <si>
    <t>BM1116</t>
  </si>
  <si>
    <t>B-4206</t>
  </si>
  <si>
    <t>CARGADOR COMPACTO PARA BATERIA WATSON</t>
  </si>
  <si>
    <t>WATSON-1</t>
  </si>
  <si>
    <t>CFM50</t>
  </si>
  <si>
    <t>Must-ON-01</t>
  </si>
  <si>
    <t>MONITOR DE VIDEO MUST  HD ON-CAMERA FIELD</t>
  </si>
  <si>
    <t>M501C07000791</t>
  </si>
  <si>
    <t>CABLE HDMI - HDMI 15 PIES MUST ON</t>
  </si>
  <si>
    <t>CABLE HDMI  - MINI HDMI 1.8 METROS MUST ON</t>
  </si>
  <si>
    <t>SKU/ID</t>
  </si>
  <si>
    <t>Black Pearl RC801 5.8Ghz 7" HD Screen Diversity Monitor</t>
  </si>
  <si>
    <t>NOMBRE COMPLETO</t>
  </si>
  <si>
    <t>ETIQUETA | NOMBRE DEL ARTICULO:</t>
  </si>
  <si>
    <t>NOMBRE DEL ARTICULO</t>
  </si>
  <si>
    <t>IPAD MINI 4 16 GB</t>
  </si>
  <si>
    <t>CON CONECTOR XT-90</t>
  </si>
  <si>
    <t>EN USO</t>
  </si>
  <si>
    <t>DISPONIBLES PARA VENTA</t>
  </si>
  <si>
    <t>CARGADOR BATERIA DELTA DRONE</t>
  </si>
  <si>
    <t>REFACCIONES</t>
  </si>
  <si>
    <t>COMPUTADORA</t>
  </si>
  <si>
    <t>RESGUARDADOS EN LA CAJA RESPUESTOS GIMBAL</t>
  </si>
  <si>
    <t>RESGUARDADO EN LA CAJA REPUESTOS</t>
  </si>
  <si>
    <t>UNO ADICIONAL SOLO MIDE 50 CM.</t>
  </si>
  <si>
    <t xml:space="preserve"> </t>
  </si>
  <si>
    <t>VER ESTADO</t>
  </si>
  <si>
    <t>BUSQUEDA</t>
  </si>
  <si>
    <t>MEMORIAS</t>
  </si>
  <si>
    <t>TABLET (DELTA Y) DELL LATITUDE 12 RUGGED 7202</t>
  </si>
  <si>
    <t>MEMORIA-01</t>
  </si>
  <si>
    <t>MICRO SD 4 GB KINGSTON</t>
  </si>
  <si>
    <t>CON CAMARA</t>
  </si>
  <si>
    <t>MEMORIA 2</t>
  </si>
  <si>
    <t>MNY32CL/A</t>
  </si>
  <si>
    <t>DLXSC7KWHGJ3</t>
  </si>
  <si>
    <t>x</t>
  </si>
  <si>
    <t>PRUEBA</t>
  </si>
  <si>
    <t>OOWQREF</t>
  </si>
  <si>
    <t>ENWIFN</t>
  </si>
  <si>
    <t>NWIEFN</t>
  </si>
  <si>
    <t>WIEFNIW</t>
  </si>
  <si>
    <t>WIEFNIWN</t>
  </si>
  <si>
    <t>ININI</t>
  </si>
  <si>
    <t>123E12R3</t>
  </si>
  <si>
    <t>WQFQ4WF</t>
  </si>
  <si>
    <t>QWFQ4F</t>
  </si>
  <si>
    <t>TOTALES</t>
  </si>
  <si>
    <t>INTERNO</t>
  </si>
  <si>
    <t>esto es una modificación hecha desde mi drive Francisco</t>
  </si>
  <si>
    <t>prueba2</t>
  </si>
  <si>
    <t/>
  </si>
  <si>
    <t>prueba1</t>
  </si>
  <si>
    <t>pruebafinal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</si>
</sst>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22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3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1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left" wrapText="1"/>
    </xf>
    <xf numFmtId="0" fontId="0" fillId="0" borderId="0" xfId="0" applyAlignment="1">
      <alignment wrapText="1"/>
    </xf>
    <xf numFmtId="0" fontId="0" fillId="0" borderId="0" xfId="0" applyBorder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0" xfId="0" applyFill="1"/>
    <xf numFmtId="1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7" fillId="2" borderId="1" xfId="0" applyFont="1" applyFill="1" applyBorder="1" applyAlignment="1">
      <alignment horizontal="left" vertical="center"/>
    </xf>
    <xf numFmtId="0" fontId="9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4" borderId="1" xfId="0" applyFont="1" applyFill="1" applyBorder="1" applyAlignment="1" applyProtection="1">
      <alignment vertical="center"/>
    </xf>
    <xf numFmtId="0" fontId="0" fillId="0" borderId="0" xfId="0" applyProtection="1">
      <protection locked="0"/>
    </xf>
    <xf numFmtId="0" fontId="0" fillId="0" borderId="0" xfId="0" applyNumberFormat="1"/>
    <xf numFmtId="0" fontId="0" fillId="0" borderId="0" xfId="0" applyNumberFormat="1" applyFill="1"/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4" fillId="4" borderId="7" xfId="0" applyFont="1" applyFill="1" applyBorder="1" applyAlignment="1" applyProtection="1">
      <alignment horizontal="center" vertical="center"/>
      <protection locked="0"/>
    </xf>
    <xf numFmtId="0" fontId="4" fillId="4" borderId="9" xfId="0" applyFont="1" applyFill="1" applyBorder="1" applyAlignment="1" applyProtection="1">
      <alignment horizontal="center" vertical="center"/>
      <protection locked="0"/>
    </xf>
    <xf numFmtId="0" fontId="0" fillId="4" borderId="7" xfId="0" applyNumberFormat="1" applyFill="1" applyBorder="1" applyAlignment="1">
      <alignment horizontal="center" vertical="center"/>
    </xf>
    <xf numFmtId="0" fontId="0" fillId="4" borderId="9" xfId="0" applyNumberFormat="1" applyFill="1" applyBorder="1" applyAlignment="1">
      <alignment horizontal="center" vertical="center"/>
    </xf>
    <xf numFmtId="1" fontId="0" fillId="4" borderId="7" xfId="0" applyNumberFormat="1" applyFill="1" applyBorder="1" applyAlignment="1">
      <alignment horizontal="center" vertical="center"/>
    </xf>
    <xf numFmtId="1" fontId="0" fillId="4" borderId="9" xfId="0" applyNumberFormat="1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0" borderId="0" xfId="0" applyProtection="1"/>
  </cellXfs>
  <cellStyles count="1">
    <cellStyle name="Normal" xfId="0" builtinId="0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protection locked="0" hidden="0"/>
    </dxf>
  </dxfs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22" fmlaLink="General!$B$17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1483659</xdr:colOff>
      <xdr:row>0</xdr:row>
      <xdr:rowOff>167528</xdr:rowOff>
    </xdr:from>
    <xdr:to>
      <xdr:col>3</xdr:col>
      <xdr:colOff>1818661</xdr:colOff>
      <xdr:row>1</xdr:row>
      <xdr:rowOff>403412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9541" y="167528"/>
          <a:ext cx="4317291" cy="95306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9525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32" name="Combo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2628900</xdr:colOff>
          <xdr:row>7</xdr:row>
          <xdr:rowOff>295275</xdr:rowOff>
        </xdr:from>
        <xdr:to>
          <xdr:col>2</xdr:col>
          <xdr:colOff>3552825</xdr:colOff>
          <xdr:row>9</xdr:row>
          <xdr:rowOff>381000</xdr:rowOff>
        </xdr:to>
        <xdr:sp macro="" textlink="">
          <xdr:nvSpPr>
            <xdr:cNvPr id="1033" name="Spinner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1247775</xdr:colOff>
          <xdr:row>195</xdr:row>
          <xdr:rowOff>0</xdr:rowOff>
        </xdr:from>
        <xdr:to>
          <xdr:col>7</xdr:col>
          <xdr:colOff>762000</xdr:colOff>
          <xdr:row>204</xdr:row>
          <xdr:rowOff>85725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1:J190" totalsRowShown="0" headerRowDxfId="8">
  <autoFilter ref="A1:J190"/>
  <sortState ref="A2:G179">
    <sortCondition ref="E1:E203"/>
  </sortState>
  <tableColumns count="10">
    <tableColumn id="1" name="LABEL"/>
    <tableColumn id="8" name="DISPONIBLES PARA VENTA" dataDxfId="7"/>
    <tableColumn id="2" name="NOMBRE DE ARTICULO "/>
    <tableColumn id="3" name="SKU/ID" dataDxfId="6"/>
    <tableColumn id="4" name="CATEGORIA"/>
    <tableColumn id="5" name="MODELO" dataDxfId="5"/>
    <tableColumn id="9" name="INTERNO" dataDxfId="4"/>
    <tableColumn id="6" name="ESTADO"/>
    <tableColumn id="7" name="NOMBRE COMPLETO" dataDxfId="3">
      <calculatedColumnFormula>(A2&amp;"  |  "&amp;C2&amp;" | "&amp;E2)</calculatedColumnFormula>
    </tableColumn>
    <tableColumn id="11" name="TOTALES" dataDxfId="2">
      <calculatedColumnFormula>SUM(B2,G2)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O405"/>
  <sheetViews>
    <sheetView tabSelected="1" topLeftCell="D181" zoomScale="70" zoomScaleNormal="70" workbookViewId="0">
      <selection activeCell="L195" sqref="L195"/>
    </sheetView>
  </sheetViews>
  <sheetFormatPr baseColWidth="10" defaultColWidth="11.42578125" defaultRowHeight="15" x14ac:dyDescent="0.25"/>
  <cols>
    <col min="1" max="1" width="26.85546875" customWidth="1"/>
    <col min="2" max="2" width="24.140625" customWidth="1"/>
    <col min="3" max="3" width="59.5703125" customWidth="1"/>
    <col min="4" max="4" width="30" customWidth="1"/>
    <col min="5" max="5" width="60.7109375" customWidth="1"/>
    <col min="6" max="6" width="30.7109375" customWidth="1"/>
    <col min="7" max="7" width="20.140625" style="5" customWidth="1"/>
    <col min="8" max="11" width="11.42578125" customWidth="1"/>
    <col min="12" max="15" width="11.42578125" style="18" customWidth="1"/>
  </cols>
  <sheetData>
    <row r="1" spans="1:14" ht="56.25" customHeight="1" x14ac:dyDescent="0.25">
      <c r="A1" s="24"/>
      <c r="B1" s="24"/>
      <c r="C1" s="24"/>
      <c r="D1" s="24"/>
      <c r="E1" s="24"/>
      <c r="F1" s="24"/>
      <c r="G1" s="24"/>
      <c r="H1" s="5"/>
    </row>
    <row r="2" spans="1:14" ht="49.5" customHeight="1" x14ac:dyDescent="0.25">
      <c r="A2" s="24"/>
      <c r="B2" s="24"/>
      <c r="C2" s="24"/>
      <c r="D2" s="24"/>
      <c r="E2" s="24"/>
      <c r="F2" s="24"/>
      <c r="G2" s="24"/>
      <c r="H2" s="5"/>
    </row>
    <row r="3" spans="1:14" ht="42.75" customHeight="1" x14ac:dyDescent="0.25">
      <c r="A3" s="40"/>
      <c r="B3" s="41" t="s">
        <v>3</v>
      </c>
      <c r="C3" s="42"/>
      <c r="D3" s="42"/>
      <c r="E3" s="42"/>
      <c r="F3" s="42"/>
      <c r="G3" s="24"/>
    </row>
    <row r="4" spans="1:14" x14ac:dyDescent="0.25">
      <c r="A4" s="40"/>
      <c r="B4" s="46" t="s">
        <v>356</v>
      </c>
      <c r="C4" s="39"/>
      <c r="D4" s="39"/>
      <c r="E4" s="39"/>
      <c r="F4" s="39"/>
      <c r="G4" s="24"/>
    </row>
    <row r="5" spans="1:14" ht="23.25" customHeight="1" x14ac:dyDescent="0.25">
      <c r="A5" s="40"/>
      <c r="B5" s="47"/>
      <c r="C5" s="48"/>
      <c r="D5" s="48"/>
      <c r="E5" s="28" t="s">
        <v>342</v>
      </c>
      <c r="F5" s="29"/>
      <c r="G5" s="24"/>
    </row>
    <row r="6" spans="1:14" ht="41.25" customHeight="1" x14ac:dyDescent="0.25">
      <c r="A6" s="40"/>
      <c r="B6" s="13" t="s">
        <v>4</v>
      </c>
      <c r="C6" s="17" t="e">
        <f>INDEX(General!A2:I1958,MATCH(E6,General!I2:I1958,0),MATCH(B6,Tabla1[#Headers],0))</f>
        <v>#N/A</v>
      </c>
      <c r="D6" s="14" t="s">
        <v>343</v>
      </c>
      <c r="E6" s="49" t="s">
        <v>380</v>
      </c>
      <c r="F6" s="50"/>
      <c r="G6" s="24"/>
    </row>
    <row r="7" spans="1:14" ht="35.25" customHeight="1" x14ac:dyDescent="0.25">
      <c r="A7" s="40"/>
      <c r="B7" s="43" t="s">
        <v>347</v>
      </c>
      <c r="C7" s="44"/>
      <c r="D7" s="15" t="s">
        <v>0</v>
      </c>
      <c r="E7" s="51" t="e">
        <f>INDEX(General!A2:I1958,MATCH(E6,General!I2:I1958,0),MATCH(D7,Tabla1[#Headers],0))</f>
        <v>#N/A</v>
      </c>
      <c r="F7" s="52"/>
      <c r="G7" s="24"/>
    </row>
    <row r="8" spans="1:14" ht="32.25" customHeight="1" x14ac:dyDescent="0.25">
      <c r="A8" s="40"/>
      <c r="B8" s="45" t="e">
        <f>INDEX(General!A2:I1958,MATCH(E6,General!I2:I1958,0),MATCH(B7,Tabla1[#Headers],0))</f>
        <v>#N/A</v>
      </c>
      <c r="C8" s="45"/>
      <c r="D8" s="15" t="s">
        <v>339</v>
      </c>
      <c r="E8" s="53" t="e">
        <f>INDEX(General!A2:I1958,MATCH(E6,General!I2:I1958,0),MATCH(D8,Tabla1[#Headers],0))</f>
        <v>#N/A</v>
      </c>
      <c r="F8" s="54"/>
      <c r="G8" s="24"/>
      <c r="L8" s="57">
        <f>--ISNUMBER(IFERROR(SEARCH($E$6,General!$I$2,1),""))</f>
        <v>1</v>
      </c>
      <c r="M8" s="57">
        <f>IF(L8=1,COUNTIF($L$8:L8,1),"")</f>
        <v>1</v>
      </c>
      <c r="N8" s="57" t="str">
        <f>IFERROR(INDEX(Tabla1[NOMBRE COMPLETO],MATCH(ROWS($M$8:M8),$M$8:$M$404,0)),"")</f>
        <v>PH4-D1  |  BATERIA DE VUELO INTELIGENTE PHANTOM4 | BATERIAS</v>
      </c>
    </row>
    <row r="9" spans="1:14" ht="57" customHeight="1" x14ac:dyDescent="0.25">
      <c r="A9" s="40"/>
      <c r="B9" s="45"/>
      <c r="C9" s="45"/>
      <c r="D9" s="15" t="s">
        <v>1</v>
      </c>
      <c r="E9" s="55" t="e">
        <f>INDEX(General!A2:I1958,MATCH(E6,General!I2:I1958,0),MATCH(D9,Tabla1[#Headers],0))</f>
        <v>#N/A</v>
      </c>
      <c r="F9" s="56"/>
      <c r="G9" s="24"/>
      <c r="L9" s="57">
        <f>--ISNUMBER(IFERROR(SEARCH($E$6,General!$I$3,1),""))</f>
        <v>1</v>
      </c>
      <c r="M9" s="57">
        <f>IF(L9=1,COUNTIF($L$8:L9,1),"")</f>
        <v>2</v>
      </c>
      <c r="N9" s="57" t="str">
        <f>IFERROR(INDEX(Tabla1[NOMBRE COMPLETO],MATCH(ROWS($M$8:M9),$M$8:$M$404,0)),"")</f>
        <v>PH4-D2  |  BATERIA DE VUELO INTELIGENTE PHANTOM4 | BATERIAS</v>
      </c>
    </row>
    <row r="10" spans="1:14" ht="38.25" customHeight="1" x14ac:dyDescent="0.25">
      <c r="A10" s="40"/>
      <c r="B10" s="45"/>
      <c r="C10" s="45"/>
      <c r="D10" s="14" t="s">
        <v>377</v>
      </c>
      <c r="E10" s="55" t="e">
        <f>INDEX(General!A2:I1958,MATCH(E6,General!I2:I1958,0),MATCH(D10,Tabla1[#Headers],0))</f>
        <v>#N/A</v>
      </c>
      <c r="F10" s="56"/>
      <c r="G10" s="24"/>
      <c r="L10" s="57">
        <f>--ISNUMBER(IFERROR(SEARCH($E$6,General!$I$4,1),""))</f>
        <v>1</v>
      </c>
      <c r="M10" s="57">
        <f>IF(L10=1,COUNTIF($L$8:L10,1),"")</f>
        <v>3</v>
      </c>
      <c r="N10" s="57" t="str">
        <f>IFERROR(INDEX(Tabla1[NOMBRE COMPLETO],MATCH(ROWS($M$8:M10),$M$8:$M$404,0)),"")</f>
        <v>PH4-D3  |  BATERIA DE VUELO INTELIGENTE PHANTOM4 | BATERIAS</v>
      </c>
    </row>
    <row r="11" spans="1:14" ht="38.25" customHeight="1" x14ac:dyDescent="0.25">
      <c r="A11" s="40"/>
      <c r="B11" s="25" t="s">
        <v>7</v>
      </c>
      <c r="C11" s="26"/>
      <c r="D11" s="26"/>
      <c r="E11" s="26"/>
      <c r="F11" s="27"/>
      <c r="G11" s="24"/>
      <c r="L11" s="57">
        <f>--ISNUMBER(IFERROR(SEARCH($E$6,General!$I$5,1),""))</f>
        <v>1</v>
      </c>
      <c r="M11" s="57">
        <f>IF(L11=1,COUNTIF($L$8:L11,1),"")</f>
        <v>4</v>
      </c>
      <c r="N11" s="57" t="str">
        <f>IFERROR(INDEX(Tabla1[NOMBRE COMPLETO],MATCH(ROWS($M$8:M11),$M$8:$M$404,0)),"")</f>
        <v>FPVBat-01  |  BATERIA PARA MONITOR BLACK PEARL | BATERIAS</v>
      </c>
    </row>
    <row r="12" spans="1:14" ht="20.25" customHeight="1" x14ac:dyDescent="0.25">
      <c r="A12" s="40"/>
      <c r="B12" s="30" t="e">
        <f>IF(ISBLANK(INDEX(General!A2:I1958,MATCH(E6,General!I2:I1958,0),MATCH(B11,Tabla1[#Headers],0))),"NO DISPONIBLE",INDEX(General!A2:I1958,MATCH(E6,General!I2:I1958,0),MATCH(B11,Tabla1[#Headers],0)))</f>
        <v>#N/A</v>
      </c>
      <c r="C12" s="31"/>
      <c r="D12" s="31"/>
      <c r="E12" s="31"/>
      <c r="F12" s="32"/>
      <c r="G12" s="24"/>
      <c r="L12" s="57">
        <f>--ISNUMBER(IFERROR(SEARCH($E$6,General!$I$6,1),""))</f>
        <v>1</v>
      </c>
      <c r="M12" s="57">
        <f>IF(L12=1,COUNTIF($L$8:L12,1),"")</f>
        <v>5</v>
      </c>
      <c r="N12" s="57" t="str">
        <f>IFERROR(INDEX(Tabla1[NOMBRE COMPLETO],MATCH(ROWS($M$8:M12),$M$8:$M$404,0)),"")</f>
        <v>FPVBat-02  |  BATERIA PARA MONITOR BLACK PEARL | BATERIAS</v>
      </c>
    </row>
    <row r="13" spans="1:14" ht="20.25" customHeight="1" x14ac:dyDescent="0.25">
      <c r="A13" s="40"/>
      <c r="B13" s="33"/>
      <c r="C13" s="34"/>
      <c r="D13" s="34"/>
      <c r="E13" s="34"/>
      <c r="F13" s="35"/>
      <c r="G13" s="24"/>
      <c r="L13" s="57">
        <f>--ISNUMBER(IFERROR(SEARCH($E$6,General!$I$7,1),""))</f>
        <v>1</v>
      </c>
      <c r="M13" s="57">
        <f>IF(L13=1,COUNTIF($L$8:L13,1),"")</f>
        <v>6</v>
      </c>
      <c r="N13" s="57" t="str">
        <f>IFERROR(INDEX(Tabla1[NOMBRE COMPLETO],MATCH(ROWS($M$8:M13),$M$8:$M$404,0)),"")</f>
        <v>FPVBat-03  |  BATERIA PARA MONITOR BLACK PEARL | BATERIAS</v>
      </c>
    </row>
    <row r="14" spans="1:14" ht="20.25" customHeight="1" x14ac:dyDescent="0.25">
      <c r="A14" s="40"/>
      <c r="B14" s="36"/>
      <c r="C14" s="37"/>
      <c r="D14" s="37"/>
      <c r="E14" s="37"/>
      <c r="F14" s="38"/>
      <c r="G14" s="24"/>
      <c r="L14" s="57">
        <f>--ISNUMBER(IFERROR(SEARCH($E$6,General!$I$8,1),""))</f>
        <v>1</v>
      </c>
      <c r="M14" s="57">
        <f>IF(L14=1,COUNTIF($L$8:L14,1),"")</f>
        <v>7</v>
      </c>
      <c r="N14" s="57" t="str">
        <f>IFERROR(INDEX(Tabla1[NOMBRE COMPLETO],MATCH(ROWS($M$8:M14),$M$8:$M$404,0)),"")</f>
        <v>FPVBat-04  |  BATERIA PARA MONITOR BLACK PEARL | BATERIAS</v>
      </c>
    </row>
    <row r="15" spans="1:14" ht="27" customHeight="1" x14ac:dyDescent="0.25">
      <c r="A15" s="23" t="s">
        <v>378</v>
      </c>
      <c r="B15" s="24"/>
      <c r="C15" s="24"/>
      <c r="D15" s="24"/>
      <c r="E15" s="24"/>
      <c r="F15" s="24"/>
      <c r="G15" s="24"/>
      <c r="L15" s="57">
        <f>--ISNUMBER(IFERROR(SEARCH($E$6,General!$I$9,1),""))</f>
        <v>1</v>
      </c>
      <c r="M15" s="57">
        <f>IF(L15=1,COUNTIF($L$8:L15,1),"")</f>
        <v>8</v>
      </c>
      <c r="N15" s="57" t="str">
        <f>IFERROR(INDEX(Tabla1[NOMBRE COMPLETO],MATCH(ROWS($M$8:M15),$M$8:$M$404,0)),"")</f>
        <v>FPVBat-05  |  BATERIA PARA MONITOR BLACK PEARL | BATERIAS</v>
      </c>
    </row>
    <row r="16" spans="1:14" ht="27" customHeight="1" x14ac:dyDescent="0.25">
      <c r="A16" s="24"/>
      <c r="B16" s="24"/>
      <c r="C16" s="24"/>
      <c r="D16" s="24"/>
      <c r="E16" s="24"/>
      <c r="F16" s="24"/>
      <c r="G16" s="24"/>
      <c r="L16" s="57">
        <f>--ISNUMBER(IFERROR(SEARCH($E$6,General!$I$10,1),""))</f>
        <v>1</v>
      </c>
      <c r="M16" s="57">
        <f>IF(L16=1,COUNTIF($L$8:L16,1),"")</f>
        <v>9</v>
      </c>
      <c r="N16" s="57" t="str">
        <f>IFERROR(INDEX(Tabla1[NOMBRE COMPLETO],MATCH(ROWS($M$8:M16),$M$8:$M$404,0)),"")</f>
        <v>FPVBat-06  |  BATERIA PARA MONITOR BLACK PEARL | BATERIAS</v>
      </c>
    </row>
    <row r="17" spans="1:14" ht="27" customHeight="1" x14ac:dyDescent="0.25">
      <c r="A17" s="24"/>
      <c r="B17" s="24"/>
      <c r="C17" s="24"/>
      <c r="D17" s="24"/>
      <c r="E17" s="24"/>
      <c r="F17" s="24"/>
      <c r="G17" s="24"/>
      <c r="L17" s="57">
        <f>--ISNUMBER(IFERROR(SEARCH($E$6,General!$I$11,1),""))</f>
        <v>1</v>
      </c>
      <c r="M17" s="57">
        <f>IF(L17=1,COUNTIF($L$8:L17,1),"")</f>
        <v>10</v>
      </c>
      <c r="N17" s="57" t="str">
        <f>IFERROR(INDEX(Tabla1[NOMBRE COMPLETO],MATCH(ROWS($M$8:M17),$M$8:$M$404,0)),"")</f>
        <v>CH-DD-Y-0041  |  CARGADOR BATERIA DELTA DRONE | BATERIAS</v>
      </c>
    </row>
    <row r="18" spans="1:14" ht="15" customHeight="1" x14ac:dyDescent="0.25">
      <c r="B18" s="4"/>
      <c r="C18" s="4"/>
      <c r="D18" s="4"/>
      <c r="E18" s="4"/>
      <c r="L18" s="57">
        <f>--ISNUMBER(IFERROR(SEARCH($E$6,General!$I$12,1),""))</f>
        <v>1</v>
      </c>
      <c r="M18" s="57">
        <f>IF(L18=1,COUNTIF($L$8:L18,1),"")</f>
        <v>11</v>
      </c>
      <c r="N18" s="57" t="str">
        <f>IFERROR(INDEX(Tabla1[NOMBRE COMPLETO],MATCH(ROWS($M$8:M18),$M$8:$M$404,0)),"")</f>
        <v>LIFE-01  |  LIFE 1500mAh 1C 9.9V | BATERIAS</v>
      </c>
    </row>
    <row r="19" spans="1:14" ht="15" customHeight="1" x14ac:dyDescent="0.25">
      <c r="B19" s="4"/>
      <c r="C19" s="4"/>
      <c r="D19" s="4"/>
      <c r="E19" s="4"/>
      <c r="L19" s="57">
        <f>--ISNUMBER(IFERROR(SEARCH($E$6,General!$I$13,1),""))</f>
        <v>1</v>
      </c>
      <c r="M19" s="57">
        <f>IF(L19=1,COUNTIF($L$8:L19,1),"")</f>
        <v>12</v>
      </c>
      <c r="N19" s="57" t="str">
        <f>IFERROR(INDEX(Tabla1[NOMBRE COMPLETO],MATCH(ROWS($M$8:M19),$M$8:$M$404,0)),"")</f>
        <v xml:space="preserve">   |  MEDIDOR DE VOLTAJE HOBBYKING | BATERIAS</v>
      </c>
    </row>
    <row r="20" spans="1:14" ht="15" customHeight="1" x14ac:dyDescent="0.25">
      <c r="B20" s="4"/>
      <c r="C20" s="4"/>
      <c r="D20" s="4"/>
      <c r="E20" s="4"/>
      <c r="L20" s="57">
        <f>--ISNUMBER(IFERROR(SEARCH($E$6,General!$I$14,1),""))</f>
        <v>1</v>
      </c>
      <c r="M20" s="57">
        <f>IF(L20=1,COUNTIF($L$8:L20,1),"")</f>
        <v>13</v>
      </c>
      <c r="N20" s="57" t="str">
        <f>IFERROR(INDEX(Tabla1[NOMBRE COMPLETO],MATCH(ROWS($M$8:M20),$M$8:$M$404,0)),"")</f>
        <v xml:space="preserve">   |  MEDIDOR DE VOLTAJE HOBBYKING | BATERIAS</v>
      </c>
    </row>
    <row r="21" spans="1:14" ht="15" customHeight="1" x14ac:dyDescent="0.25">
      <c r="L21" s="57">
        <f>--ISNUMBER(IFERROR(SEARCH($E$6,General!$I$15,1),""))</f>
        <v>1</v>
      </c>
      <c r="M21" s="57">
        <f>IF(L21=1,COUNTIF($L$8:L21,1),"")</f>
        <v>14</v>
      </c>
      <c r="N21" s="57" t="str">
        <f>IFERROR(INDEX(Tabla1[NOMBRE COMPLETO],MATCH(ROWS($M$8:M21),$M$8:$M$404,0)),"")</f>
        <v>MULTISTAR-01  |  MULTISTAR 4S10000mAh | BATERIAS</v>
      </c>
    </row>
    <row r="22" spans="1:14" ht="15" customHeight="1" x14ac:dyDescent="0.25">
      <c r="L22" s="57">
        <f>--ISNUMBER(IFERROR(SEARCH($E$6,General!$I$16,1),""))</f>
        <v>1</v>
      </c>
      <c r="M22" s="57">
        <f>IF(L22=1,COUNTIF($L$8:L22,1),"")</f>
        <v>15</v>
      </c>
      <c r="N22" s="57" t="str">
        <f>IFERROR(INDEX(Tabla1[NOMBRE COMPLETO],MATCH(ROWS($M$8:M22),$M$8:$M$404,0)),"")</f>
        <v>MULTISTAR-02  |  MULTISTAR 4S10000mAh | BATERIAS</v>
      </c>
    </row>
    <row r="23" spans="1:14" ht="15" customHeight="1" x14ac:dyDescent="0.25">
      <c r="L23" s="57">
        <f>--ISNUMBER(IFERROR(SEARCH($E$6,General!$I$17,1),""))</f>
        <v>1</v>
      </c>
      <c r="M23" s="57">
        <f>IF(L23=1,COUNTIF($L$8:L23,1),"")</f>
        <v>16</v>
      </c>
      <c r="N23" s="57" t="str">
        <f>IFERROR(INDEX(Tabla1[NOMBRE COMPLETO],MATCH(ROWS($M$8:M23),$M$8:$M$404,0)),"")</f>
        <v>MULTISTAR-03  |  MULTISTAR 4S10000mAh | BATERIAS</v>
      </c>
    </row>
    <row r="24" spans="1:14" ht="15" customHeight="1" x14ac:dyDescent="0.25">
      <c r="L24" s="57">
        <f>--ISNUMBER(IFERROR(SEARCH($E$6,General!$I$18,1),""))</f>
        <v>1</v>
      </c>
      <c r="M24" s="57">
        <f>IF(L24=1,COUNTIF($L$8:L24,1),"")</f>
        <v>17</v>
      </c>
      <c r="N24" s="57" t="str">
        <f>IFERROR(INDEX(Tabla1[NOMBRE COMPLETO],MATCH(ROWS($M$8:M24),$M$8:$M$404,0)),"")</f>
        <v>MULTISTAR-04  |  MULTISTAR 4S10000mAh | BATERIAS</v>
      </c>
    </row>
    <row r="25" spans="1:14" ht="15" customHeight="1" x14ac:dyDescent="0.25">
      <c r="L25" s="57">
        <f>--ISNUMBER(IFERROR(SEARCH($E$6,General!$I$19,1),""))</f>
        <v>1</v>
      </c>
      <c r="M25" s="57">
        <f>IF(L25=1,COUNTIF($L$8:L25,1),"")</f>
        <v>18</v>
      </c>
      <c r="N25" s="57" t="str">
        <f>IFERROR(INDEX(Tabla1[NOMBRE COMPLETO],MATCH(ROWS($M$8:M25),$M$8:$M$404,0)),"")</f>
        <v>XMULTISTAR-01  |  MULTISTAR 4S10000mAh | BATERIAS</v>
      </c>
    </row>
    <row r="26" spans="1:14" ht="15" customHeight="1" x14ac:dyDescent="0.25">
      <c r="L26" s="57">
        <f>--ISNUMBER(IFERROR(SEARCH($E$6,General!$I$20,1),""))</f>
        <v>1</v>
      </c>
      <c r="M26" s="57">
        <f>IF(L26=1,COUNTIF($L$8:L26,1),"")</f>
        <v>19</v>
      </c>
      <c r="N26" s="57" t="str">
        <f>IFERROR(INDEX(Tabla1[NOMBRE COMPLETO],MATCH(ROWS($M$8:M26),$M$8:$M$404,0)),"")</f>
        <v>XMULTISTAR-02  |  MULTISTAR 4S10000mAh | BATERIAS</v>
      </c>
    </row>
    <row r="27" spans="1:14" ht="15" customHeight="1" x14ac:dyDescent="0.25">
      <c r="L27" s="57">
        <f>--ISNUMBER(IFERROR(SEARCH($E$6,General!$I$21,1),""))</f>
        <v>1</v>
      </c>
      <c r="M27" s="57">
        <f>IF(L27=1,COUNTIF($L$8:L27,1),"")</f>
        <v>20</v>
      </c>
      <c r="N27" s="57" t="str">
        <f>IFERROR(INDEX(Tabla1[NOMBRE COMPLETO],MATCH(ROWS($M$8:M27),$M$8:$M$404,0)),"")</f>
        <v>DY-01  |  THUNDER-POWER 4S 4400mAh G8 Pro Lite | BATERIAS</v>
      </c>
    </row>
    <row r="28" spans="1:14" ht="15" customHeight="1" x14ac:dyDescent="0.25">
      <c r="L28" s="57">
        <f>--ISNUMBER(IFERROR(SEARCH($E$6,General!$I$22,1),""))</f>
        <v>1</v>
      </c>
      <c r="M28" s="57">
        <f>IF(L28=1,COUNTIF($L$8:L28,1),"")</f>
        <v>21</v>
      </c>
      <c r="N28" s="57" t="str">
        <f>IFERROR(INDEX(Tabla1[NOMBRE COMPLETO],MATCH(ROWS($M$8:M28),$M$8:$M$404,0)),"")</f>
        <v>DY-02  |  THUNDER-POWER 4S 4400mAh G8 Pro Lite | BATERIAS</v>
      </c>
    </row>
    <row r="29" spans="1:14" ht="15" customHeight="1" x14ac:dyDescent="0.25">
      <c r="L29" s="57">
        <f>--ISNUMBER(IFERROR(SEARCH($E$6,General!$I$23,1),""))</f>
        <v>1</v>
      </c>
      <c r="M29" s="57">
        <f>IF(L29=1,COUNTIF($L$8:L29,1),"")</f>
        <v>22</v>
      </c>
      <c r="N29" s="57" t="str">
        <f>IFERROR(INDEX(Tabla1[NOMBRE COMPLETO],MATCH(ROWS($M$8:M29),$M$8:$M$404,0)),"")</f>
        <v>DY-03  |  THUNDER-POWER 4S 4400mAh G8 Pro Lite | BATERIAS</v>
      </c>
    </row>
    <row r="30" spans="1:14" ht="15" customHeight="1" x14ac:dyDescent="0.25">
      <c r="L30" s="57">
        <f>--ISNUMBER(IFERROR(SEARCH($E$6,General!$I$24,1),""))</f>
        <v>1</v>
      </c>
      <c r="M30" s="57">
        <f>IF(L30=1,COUNTIF($L$8:L30,1),"")</f>
        <v>23</v>
      </c>
      <c r="N30" s="57" t="str">
        <f>IFERROR(INDEX(Tabla1[NOMBRE COMPLETO],MATCH(ROWS($M$8:M30),$M$8:$M$404,0)),"")</f>
        <v>DY-04  |  THUNDER-POWER 4S 4400mAh G8 Pro Lite | BATERIAS</v>
      </c>
    </row>
    <row r="31" spans="1:14" ht="15" customHeight="1" x14ac:dyDescent="0.25">
      <c r="L31" s="57">
        <f>--ISNUMBER(IFERROR(SEARCH($E$6,General!$I$25,1),""))</f>
        <v>1</v>
      </c>
      <c r="M31" s="57">
        <f>IF(L31=1,COUNTIF($L$8:L31,1),"")</f>
        <v>24</v>
      </c>
      <c r="N31" s="57" t="str">
        <f>IFERROR(INDEX(Tabla1[NOMBRE COMPLETO],MATCH(ROWS($M$8:M31),$M$8:$M$404,0)),"")</f>
        <v>ZI-01  |  ZIPPY COMPACT 1000mAh 3S 3C | BATERIAS</v>
      </c>
    </row>
    <row r="32" spans="1:14" ht="15" customHeight="1" x14ac:dyDescent="0.25">
      <c r="L32" s="57">
        <f>--ISNUMBER(IFERROR(SEARCH($E$6,General!$I$26,1),""))</f>
        <v>1</v>
      </c>
      <c r="M32" s="57">
        <f>IF(L32=1,COUNTIF($L$8:L32,1),"")</f>
        <v>25</v>
      </c>
      <c r="N32" s="57" t="str">
        <f>IFERROR(INDEX(Tabla1[NOMBRE COMPLETO],MATCH(ROWS($M$8:M32),$M$8:$M$404,0)),"")</f>
        <v>ZI-02  |  ZIPPY COMPACT 1000mAh 3S 3C | BATERIAS</v>
      </c>
    </row>
    <row r="33" spans="12:14" ht="15" customHeight="1" x14ac:dyDescent="0.25">
      <c r="L33" s="57">
        <f>--ISNUMBER(IFERROR(SEARCH($E$6,General!$I$27,1),""))</f>
        <v>1</v>
      </c>
      <c r="M33" s="57">
        <f>IF(L33=1,COUNTIF($L$8:L33,1),"")</f>
        <v>26</v>
      </c>
      <c r="N33" s="57" t="str">
        <f>IFERROR(INDEX(Tabla1[NOMBRE COMPLETO],MATCH(ROWS($M$8:M33),$M$8:$M$404,0)),"")</f>
        <v>Z1-03  |  ZIPPY COMPACT 1000mAh 3S 3C | BATERIAS</v>
      </c>
    </row>
    <row r="34" spans="12:14" ht="15" customHeight="1" x14ac:dyDescent="0.25">
      <c r="L34" s="57">
        <f>--ISNUMBER(IFERROR(SEARCH($E$6,General!$I$28,1),""))</f>
        <v>1</v>
      </c>
      <c r="M34" s="57">
        <f>IF(L34=1,COUNTIF($L$8:L34,1),"")</f>
        <v>27</v>
      </c>
      <c r="N34" s="57" t="str">
        <f>IFERROR(INDEX(Tabla1[NOMBRE COMPLETO],MATCH(ROWS($M$8:M34),$M$8:$M$404,0)),"")</f>
        <v>Z1-04  |  ZIPPY COMPACT 1000mAh 3S 3C | BATERIAS</v>
      </c>
    </row>
    <row r="35" spans="12:14" ht="15" customHeight="1" x14ac:dyDescent="0.25">
      <c r="L35" s="57">
        <f>--ISNUMBER(IFERROR(SEARCH($E$6,General!$I$29,1),""))</f>
        <v>1</v>
      </c>
      <c r="M35" s="57">
        <f>IF(L35=1,COUNTIF($L$8:L35,1),"")</f>
        <v>28</v>
      </c>
      <c r="N35" s="57" t="str">
        <f>IFERROR(INDEX(Tabla1[NOMBRE COMPLETO],MATCH(ROWS($M$8:M35),$M$8:$M$404,0)),"")</f>
        <v>WATSON-1  |  BATERIA RECARGABLE WATSON B-4206 | BATERIAS</v>
      </c>
    </row>
    <row r="36" spans="12:14" ht="15" customHeight="1" x14ac:dyDescent="0.25">
      <c r="L36" s="57">
        <f>--ISNUMBER(IFERROR(SEARCH($E$6,General!$I$30,1),""))</f>
        <v>1</v>
      </c>
      <c r="M36" s="57">
        <f>IF(L36=1,COUNTIF($L$8:L36,1),"")</f>
        <v>29</v>
      </c>
      <c r="N36" s="57" t="str">
        <f>IFERROR(INDEX(Tabla1[NOMBRE COMPLETO],MATCH(ROWS($M$8:M36),$M$8:$M$404,0)),"")</f>
        <v>WATSON-1  |  CARGADOR COMPACTO PARA BATERIA WATSON | BATERIAS</v>
      </c>
    </row>
    <row r="37" spans="12:14" ht="15" customHeight="1" x14ac:dyDescent="0.25">
      <c r="L37" s="57">
        <f>--ISNUMBER(IFERROR(SEARCH($E$6,General!$I$31,1),""))</f>
        <v>1</v>
      </c>
      <c r="M37" s="57">
        <f>IF(L37=1,COUNTIF($L$8:L37,1),"")</f>
        <v>30</v>
      </c>
      <c r="N37" s="57" t="str">
        <f>IFERROR(INDEX(Tabla1[NOMBRE COMPLETO],MATCH(ROWS($M$8:M37),$M$8:$M$404,0)),"")</f>
        <v xml:space="preserve">   |  CABLE DE SERVO TIPO FUTABA MACHO-HEMBRA RECTOS 15 CM. | CABLES</v>
      </c>
    </row>
    <row r="38" spans="12:14" ht="15" customHeight="1" x14ac:dyDescent="0.25">
      <c r="L38" s="57">
        <f>--ISNUMBER(IFERROR(SEARCH($E$6,General!$I$32,1),""))</f>
        <v>1</v>
      </c>
      <c r="M38" s="57">
        <f>IF(L38=1,COUNTIF($L$8:L38,1),"")</f>
        <v>31</v>
      </c>
      <c r="N38" s="57" t="str">
        <f>IFERROR(INDEX(Tabla1[NOMBRE COMPLETO],MATCH(ROWS($M$8:M38),$M$8:$M$404,0)),"")</f>
        <v xml:space="preserve">   |  CABLE DE SERVO TIPO FUTABA MACHO-HEMBRA TWISTED 15 CM.  | CABLES</v>
      </c>
    </row>
    <row r="39" spans="12:14" ht="15" customHeight="1" x14ac:dyDescent="0.25">
      <c r="L39" s="57">
        <f>--ISNUMBER(IFERROR(SEARCH($E$6,General!$I$33,1),""))</f>
        <v>1</v>
      </c>
      <c r="M39" s="57">
        <f>IF(L39=1,COUNTIF($L$8:L39,1),"")</f>
        <v>32</v>
      </c>
      <c r="N39" s="57" t="str">
        <f>IFERROR(INDEX(Tabla1[NOMBRE COMPLETO],MATCH(ROWS($M$8:M39),$M$8:$M$404,0)),"")</f>
        <v xml:space="preserve">   |  CABLE DE SERVO TIPO FUTABA MACHO-HEMBRA TWISTED 30 CM.  | CABLES</v>
      </c>
    </row>
    <row r="40" spans="12:14" ht="15" customHeight="1" x14ac:dyDescent="0.25">
      <c r="L40" s="57">
        <f>--ISNUMBER(IFERROR(SEARCH($E$6,General!$I$34,1),""))</f>
        <v>1</v>
      </c>
      <c r="M40" s="57">
        <f>IF(L40=1,COUNTIF($L$8:L40,1),"")</f>
        <v>33</v>
      </c>
      <c r="N40" s="57" t="str">
        <f>IFERROR(INDEX(Tabla1[NOMBRE COMPLETO],MATCH(ROWS($M$8:M40),$M$8:$M$404,0)),"")</f>
        <v>12AWG  |  CABLE DE SILICON NEGRO 12AWG | CABLES</v>
      </c>
    </row>
    <row r="41" spans="12:14" ht="15" customHeight="1" x14ac:dyDescent="0.25">
      <c r="L41" s="57">
        <f>--ISNUMBER(IFERROR(SEARCH($E$6,General!$I$35,1),""))</f>
        <v>1</v>
      </c>
      <c r="M41" s="57">
        <f>IF(L41=1,COUNTIF($L$8:L41,1),"")</f>
        <v>34</v>
      </c>
      <c r="N41" s="57" t="str">
        <f>IFERROR(INDEX(Tabla1[NOMBRE COMPLETO],MATCH(ROWS($M$8:M41),$M$8:$M$404,0)),"")</f>
        <v>14AWG  |  CABLE DE SILICON NEGRO 14AWG | CABLES</v>
      </c>
    </row>
    <row r="42" spans="12:14" ht="15" customHeight="1" x14ac:dyDescent="0.25">
      <c r="L42" s="57">
        <f>--ISNUMBER(IFERROR(SEARCH($E$6,General!$I$36,1),""))</f>
        <v>1</v>
      </c>
      <c r="M42" s="57">
        <f>IF(L42=1,COUNTIF($L$8:L42,1),"")</f>
        <v>35</v>
      </c>
      <c r="N42" s="57" t="str">
        <f>IFERROR(INDEX(Tabla1[NOMBRE COMPLETO],MATCH(ROWS($M$8:M42),$M$8:$M$404,0)),"")</f>
        <v>16AWG  |  CABLE DE SILICON NEGRO 16AWG | CABLES</v>
      </c>
    </row>
    <row r="43" spans="12:14" ht="15" customHeight="1" x14ac:dyDescent="0.25">
      <c r="L43" s="57">
        <f>--ISNUMBER(IFERROR(SEARCH($E$6,General!$I$37,1),""))</f>
        <v>1</v>
      </c>
      <c r="M43" s="57">
        <f>IF(L43=1,COUNTIF($L$8:L43,1),"")</f>
        <v>36</v>
      </c>
      <c r="N43" s="57" t="str">
        <f>IFERROR(INDEX(Tabla1[NOMBRE COMPLETO],MATCH(ROWS($M$8:M43),$M$8:$M$404,0)),"")</f>
        <v>18AWG  |  CABLE DE SILICON NEGRO 18AWG | CABLES</v>
      </c>
    </row>
    <row r="44" spans="12:14" ht="15" customHeight="1" x14ac:dyDescent="0.25">
      <c r="L44" s="57">
        <f>--ISNUMBER(IFERROR(SEARCH($E$6,General!$I$38,1),""))</f>
        <v>1</v>
      </c>
      <c r="M44" s="57">
        <f>IF(L44=1,COUNTIF($L$8:L44,1),"")</f>
        <v>37</v>
      </c>
      <c r="N44" s="57" t="str">
        <f>IFERROR(INDEX(Tabla1[NOMBRE COMPLETO],MATCH(ROWS($M$8:M44),$M$8:$M$404,0)),"")</f>
        <v>20AWG  |  CABLE DE SILICON NEGRO 20AWG | CABLES</v>
      </c>
    </row>
    <row r="45" spans="12:14" ht="15" customHeight="1" x14ac:dyDescent="0.25">
      <c r="L45" s="57">
        <f>--ISNUMBER(IFERROR(SEARCH($E$6,General!$I$39,1),""))</f>
        <v>1</v>
      </c>
      <c r="M45" s="57">
        <f>IF(L45=1,COUNTIF($L$8:L45,1),"")</f>
        <v>38</v>
      </c>
      <c r="N45" s="57" t="str">
        <f>IFERROR(INDEX(Tabla1[NOMBRE COMPLETO],MATCH(ROWS($M$8:M45),$M$8:$M$404,0)),"")</f>
        <v>24AWG  |  CABLE DE SILICON NEGRO 24AWG | CABLES</v>
      </c>
    </row>
    <row r="46" spans="12:14" ht="15" customHeight="1" x14ac:dyDescent="0.25">
      <c r="L46" s="57">
        <f>--ISNUMBER(IFERROR(SEARCH($E$6,General!$I$40,1),""))</f>
        <v>1</v>
      </c>
      <c r="M46" s="57">
        <f>IF(L46=1,COUNTIF($L$8:L46,1),"")</f>
        <v>39</v>
      </c>
      <c r="N46" s="57" t="str">
        <f>IFERROR(INDEX(Tabla1[NOMBRE COMPLETO],MATCH(ROWS($M$8:M46),$M$8:$M$404,0)),"")</f>
        <v>HDMI-Mm-01  |  CABLE HDMI UNIVERSAL-micro | CABLES</v>
      </c>
    </row>
    <row r="47" spans="12:14" ht="15" customHeight="1" x14ac:dyDescent="0.25">
      <c r="L47" s="57">
        <f>--ISNUMBER(IFERROR(SEARCH($E$6,General!$I$41,1),""))</f>
        <v>1</v>
      </c>
      <c r="M47" s="57">
        <f>IF(L47=1,COUNTIF($L$8:L47,1),"")</f>
        <v>40</v>
      </c>
      <c r="N47" s="57" t="str">
        <f>IFERROR(INDEX(Tabla1[NOMBRE COMPLETO],MATCH(ROWS($M$8:M47),$M$8:$M$404,0)),"")</f>
        <v xml:space="preserve">   |  CABLE JR-MINI JST-XH | CABLES</v>
      </c>
    </row>
    <row r="48" spans="12:14" ht="15" customHeight="1" x14ac:dyDescent="0.25">
      <c r="L48" s="57">
        <f>--ISNUMBER(IFERROR(SEARCH($E$6,General!$I$42,1),""))</f>
        <v>1</v>
      </c>
      <c r="M48" s="57">
        <f>IF(L48=1,COUNTIF($L$8:L48,1),"")</f>
        <v>41</v>
      </c>
      <c r="N48" s="57" t="str">
        <f>IFERROR(INDEX(Tabla1[NOMBRE COMPLETO],MATCH(ROWS($M$8:M48),$M$8:$M$404,0)),"")</f>
        <v>USB-UM-01  |  CABLE USB UNIVERSAL-microA | CABLES</v>
      </c>
    </row>
    <row r="49" spans="12:14" ht="15" customHeight="1" x14ac:dyDescent="0.25">
      <c r="L49" s="57">
        <f>--ISNUMBER(IFERROR(SEARCH($E$6,General!$I$43,1),""))</f>
        <v>1</v>
      </c>
      <c r="M49" s="57">
        <f>IF(L49=1,COUNTIF($L$8:L49,1),"")</f>
        <v>42</v>
      </c>
      <c r="N49" s="57" t="str">
        <f>IFERROR(INDEX(Tabla1[NOMBRE COMPLETO],MATCH(ROWS($M$8:M49),$M$8:$M$404,0)),"")</f>
        <v>USB-UM-02  |  CABLE USB UNIVERSAL-microA | CABLES</v>
      </c>
    </row>
    <row r="50" spans="12:14" ht="15" customHeight="1" x14ac:dyDescent="0.25">
      <c r="L50" s="57">
        <f>--ISNUMBER(IFERROR(SEARCH($E$6,General!$I$44,1),""))</f>
        <v>1</v>
      </c>
      <c r="M50" s="57">
        <f>IF(L50=1,COUNTIF($L$8:L50,1),"")</f>
        <v>43</v>
      </c>
      <c r="N50" s="57" t="str">
        <f>IFERROR(INDEX(Tabla1[NOMBRE COMPLETO],MATCH(ROWS($M$8:M50),$M$8:$M$404,0)),"")</f>
        <v>USB-UM-03  |  CABLE USB UNIVERSAL-microA | CABLES</v>
      </c>
    </row>
    <row r="51" spans="12:14" ht="15" customHeight="1" x14ac:dyDescent="0.25">
      <c r="L51" s="57">
        <f>--ISNUMBER(IFERROR(SEARCH($E$6,General!$I$45,1),""))</f>
        <v>1</v>
      </c>
      <c r="M51" s="57">
        <f>IF(L51=1,COUNTIF($L$8:L51,1),"")</f>
        <v>44</v>
      </c>
      <c r="N51" s="57" t="str">
        <f>IFERROR(INDEX(Tabla1[NOMBRE COMPLETO],MATCH(ROWS($M$8:M51),$M$8:$M$404,0)),"")</f>
        <v>USB-UM-04  |  CABLE USB UNIVERSAL-microA | CABLES</v>
      </c>
    </row>
    <row r="52" spans="12:14" ht="15" customHeight="1" x14ac:dyDescent="0.25">
      <c r="L52" s="57">
        <f>--ISNUMBER(IFERROR(SEARCH($E$6,General!$I$46,1),""))</f>
        <v>1</v>
      </c>
      <c r="M52" s="57">
        <f>IF(L52=1,COUNTIF($L$8:L52,1),"")</f>
        <v>45</v>
      </c>
      <c r="N52" s="57" t="str">
        <f>IFERROR(INDEX(Tabla1[NOMBRE COMPLETO],MATCH(ROWS($M$8:M52),$M$8:$M$404,0)),"")</f>
        <v>USB-UM-05  |  CABLE USB UNIVERSAL-microA | CABLES</v>
      </c>
    </row>
    <row r="53" spans="12:14" ht="15" customHeight="1" x14ac:dyDescent="0.25">
      <c r="L53" s="57">
        <f>--ISNUMBER(IFERROR(SEARCH($E$6,General!$I$47,1),""))</f>
        <v>1</v>
      </c>
      <c r="M53" s="57">
        <f>IF(L53=1,COUNTIF($L$8:L53,1),"")</f>
        <v>46</v>
      </c>
      <c r="N53" s="57" t="str">
        <f>IFERROR(INDEX(Tabla1[NOMBRE COMPLETO],MATCH(ROWS($M$8:M53),$M$8:$M$404,0)),"")</f>
        <v>USB-UM-06  |  CABLE USB UNIVERSAL-microA | CABLES</v>
      </c>
    </row>
    <row r="54" spans="12:14" ht="15" customHeight="1" x14ac:dyDescent="0.25">
      <c r="L54" s="57">
        <f>--ISNUMBER(IFERROR(SEARCH($E$6,General!$I$48,1),""))</f>
        <v>1</v>
      </c>
      <c r="M54" s="57">
        <f>IF(L54=1,COUNTIF($L$8:L54,1),"")</f>
        <v>47</v>
      </c>
      <c r="N54" s="57" t="str">
        <f>IFERROR(INDEX(Tabla1[NOMBRE COMPLETO],MATCH(ROWS($M$8:M54),$M$8:$M$404,0)),"")</f>
        <v>USB-Um-01  |  CABLE USB UNIVERSAL-microB | CABLES</v>
      </c>
    </row>
    <row r="55" spans="12:14" ht="15" customHeight="1" x14ac:dyDescent="0.25">
      <c r="L55" s="57">
        <f>--ISNUMBER(IFERROR(SEARCH($E$6,General!$I$49,1),""))</f>
        <v>1</v>
      </c>
      <c r="M55" s="57">
        <f>IF(L55=1,COUNTIF($L$8:L55,1),"")</f>
        <v>48</v>
      </c>
      <c r="N55" s="57" t="str">
        <f>IFERROR(INDEX(Tabla1[NOMBRE COMPLETO],MATCH(ROWS($M$8:M55),$M$8:$M$404,0)),"")</f>
        <v>USB-Um-02  |  CABLE USB UNIVERSAL-microB | CABLES</v>
      </c>
    </row>
    <row r="56" spans="12:14" ht="15" customHeight="1" x14ac:dyDescent="0.25">
      <c r="L56" s="57">
        <f>--ISNUMBER(IFERROR(SEARCH($E$6,General!$I$50,1),""))</f>
        <v>1</v>
      </c>
      <c r="M56" s="57">
        <f>IF(L56=1,COUNTIF($L$8:L56,1),"")</f>
        <v>49</v>
      </c>
      <c r="N56" s="57" t="str">
        <f>IFERROR(INDEX(Tabla1[NOMBRE COMPLETO],MATCH(ROWS($M$8:M56),$M$8:$M$404,0)),"")</f>
        <v>DJI-LB-0X  |  KIT DE CABLES DJI | CABLES</v>
      </c>
    </row>
    <row r="57" spans="12:14" ht="15" customHeight="1" x14ac:dyDescent="0.25">
      <c r="L57" s="57">
        <f>--ISNUMBER(IFERROR(SEARCH($E$6,General!$I$51,1),""))</f>
        <v>1</v>
      </c>
      <c r="M57" s="57">
        <f>IF(L57=1,COUNTIF($L$8:L57,1),"")</f>
        <v>50</v>
      </c>
      <c r="N57" s="57" t="str">
        <f>IFERROR(INDEX(Tabla1[NOMBRE COMPLETO],MATCH(ROWS($M$8:M57),$M$8:$M$404,0)),"")</f>
        <v xml:space="preserve">   |  USB GIMBAL UNIVERSAL-MICRO | CABLES</v>
      </c>
    </row>
    <row r="58" spans="12:14" ht="15" customHeight="1" x14ac:dyDescent="0.25">
      <c r="L58" s="57">
        <f>--ISNUMBER(IFERROR(SEARCH($E$6,General!$I$52,1),""))</f>
        <v>1</v>
      </c>
      <c r="M58" s="57">
        <f>IF(L58=1,COUNTIF($L$8:L58,1),"")</f>
        <v>51</v>
      </c>
      <c r="N58" s="57" t="str">
        <f>IFERROR(INDEX(Tabla1[NOMBRE COMPLETO],MATCH(ROWS($M$8:M58),$M$8:$M$404,0)),"")</f>
        <v>GPH3-01  |  CAMARA GOPRO HERO 3  | CAMARA</v>
      </c>
    </row>
    <row r="59" spans="12:14" ht="15" customHeight="1" x14ac:dyDescent="0.25">
      <c r="L59" s="57">
        <f>--ISNUMBER(IFERROR(SEARCH($E$6,General!$I$53,1),""))</f>
        <v>1</v>
      </c>
      <c r="M59" s="57">
        <f>IF(L59=1,COUNTIF($L$8:L59,1),"")</f>
        <v>52</v>
      </c>
      <c r="N59" s="57" t="str">
        <f>IFERROR(INDEX(Tabla1[NOMBRE COMPLETO],MATCH(ROWS($M$8:M59),$M$8:$M$404,0)),"")</f>
        <v>SONY NEX-7  |  CAMARA SONY NEX-7 24.3 MPX | CAMARA</v>
      </c>
    </row>
    <row r="60" spans="12:14" ht="15" customHeight="1" x14ac:dyDescent="0.25">
      <c r="L60" s="57">
        <f>--ISNUMBER(IFERROR(SEARCH($E$6,General!$I$54,1),""))</f>
        <v>1</v>
      </c>
      <c r="M60" s="57">
        <f>IF(L60=1,COUNTIF($L$8:L60,1),"")</f>
        <v>53</v>
      </c>
      <c r="N60" s="57" t="str">
        <f>IFERROR(INDEX(Tabla1[NOMBRE COMPLETO],MATCH(ROWS($M$8:M60),$M$8:$M$404,0)),"")</f>
        <v>L1-NEX-7  |  LENTE OPTICAL STEADYSHOT FOR SONY NEX-7 | CAMARA</v>
      </c>
    </row>
    <row r="61" spans="12:14" ht="15" customHeight="1" x14ac:dyDescent="0.25">
      <c r="L61" s="57">
        <f>--ISNUMBER(IFERROR(SEARCH($E$6,General!$I$55,1),""))</f>
        <v>1</v>
      </c>
      <c r="M61" s="57">
        <f>IF(L61=1,COUNTIF($L$8:L61,1),"")</f>
        <v>54</v>
      </c>
      <c r="N61" s="57" t="str">
        <f>IFERROR(INDEX(Tabla1[NOMBRE COMPLETO],MATCH(ROWS($M$8:M61),$M$8:$M$404,0)),"")</f>
        <v>CARGST-01  |  CARGADOR BATERIAS TIPO C MARCA STEREN | CARGADOR</v>
      </c>
    </row>
    <row r="62" spans="12:14" ht="15" customHeight="1" x14ac:dyDescent="0.25">
      <c r="L62" s="57">
        <f>--ISNUMBER(IFERROR(SEARCH($E$6,General!$I$56,1),""))</f>
        <v>1</v>
      </c>
      <c r="M62" s="57">
        <f>IF(L62=1,COUNTIF($L$8:L62,1),"")</f>
        <v>55</v>
      </c>
      <c r="N62" s="57" t="str">
        <f>IFERROR(INDEX(Tabla1[NOMBRE COMPLETO],MATCH(ROWS($M$8:M62),$M$8:$M$404,0)),"")</f>
        <v>PHANTOM4-01  |  CONTROL REMOTO PHANTOM 4 | CONTROL</v>
      </c>
    </row>
    <row r="63" spans="12:14" ht="15" customHeight="1" x14ac:dyDescent="0.25">
      <c r="L63" s="57">
        <f>--ISNUMBER(IFERROR(SEARCH($E$6,General!$I$57,1),""))</f>
        <v>1</v>
      </c>
      <c r="M63" s="57">
        <f>IF(L63=1,COUNTIF($L$8:L63,1),"")</f>
        <v>56</v>
      </c>
      <c r="N63" s="57" t="str">
        <f>IFERROR(INDEX(Tabla1[NOMBRE COMPLETO],MATCH(ROWS($M$8:M63),$M$8:$M$404,0)),"")</f>
        <v>TARANIS-01  |  CONTROL REMOTO TARANIS X9D | CONTROL</v>
      </c>
    </row>
    <row r="64" spans="12:14" ht="15" customHeight="1" x14ac:dyDescent="0.25">
      <c r="L64" s="57">
        <f>--ISNUMBER(IFERROR(SEARCH($E$6,General!$I$58,1),""))</f>
        <v>1</v>
      </c>
      <c r="M64" s="57">
        <f>IF(L64=1,COUNTIF($L$8:L64,1),"")</f>
        <v>57</v>
      </c>
      <c r="N64" s="57" t="str">
        <f>IFERROR(INDEX(Tabla1[NOMBRE COMPLETO],MATCH(ROWS($M$8:M64),$M$8:$M$404,0)),"")</f>
        <v>TARANIS-02  |  CONTROL REMOTO TARANIS X9D | CONTROL</v>
      </c>
    </row>
    <row r="65" spans="12:14" ht="15" customHeight="1" x14ac:dyDescent="0.25">
      <c r="L65" s="57">
        <f>--ISNUMBER(IFERROR(SEARCH($E$6,General!$I$59,1),""))</f>
        <v>1</v>
      </c>
      <c r="M65" s="57">
        <f>IF(L65=1,COUNTIF($L$8:L65,1),"")</f>
        <v>58</v>
      </c>
      <c r="N65" s="57" t="str">
        <f>IFERROR(INDEX(Tabla1[NOMBRE COMPLETO],MATCH(ROWS($M$8:M65),$M$8:$M$404,0)),"")</f>
        <v>TURNIGY-01  |  CONTROL REMOTO TURNIGY FS-I6s | CONTROL</v>
      </c>
    </row>
    <row r="66" spans="12:14" ht="15" customHeight="1" x14ac:dyDescent="0.25">
      <c r="L66" s="57">
        <f>--ISNUMBER(IFERROR(SEARCH($E$6,General!$I$60,1),""))</f>
        <v>1</v>
      </c>
      <c r="M66" s="57">
        <f>IF(L66=1,COUNTIF($L$8:L66,1),"")</f>
        <v>59</v>
      </c>
      <c r="N66" s="57" t="str">
        <f>IFERROR(INDEX(Tabla1[NOMBRE COMPLETO],MATCH(ROWS($M$8:M66),$M$8:$M$404,0)),"")</f>
        <v>JST-XH 2S-6S-XX  |  ADAPTADOR P/BATERIA JST-XH 2S-6S | ELECTRONICA</v>
      </c>
    </row>
    <row r="67" spans="12:14" ht="15" customHeight="1" x14ac:dyDescent="0.25">
      <c r="L67" s="57">
        <f>--ISNUMBER(IFERROR(SEARCH($E$6,General!$I$61,1),""))</f>
        <v>1</v>
      </c>
      <c r="M67" s="57">
        <f>IF(L67=1,COUNTIF($L$8:L67,1),"")</f>
        <v>60</v>
      </c>
      <c r="N67" s="57" t="str">
        <f>IFERROR(INDEX(Tabla1[NOMBRE COMPLETO],MATCH(ROWS($M$8:M67),$M$8:$M$404,0)),"")</f>
        <v>TP-FP-XX  |  ADAPTADOR P/BATERIA TP-FP | ELECTRONICA</v>
      </c>
    </row>
    <row r="68" spans="12:14" ht="15" customHeight="1" x14ac:dyDescent="0.25">
      <c r="L68" s="57">
        <f>--ISNUMBER(IFERROR(SEARCH($E$6,General!$I$62,1),""))</f>
        <v>1</v>
      </c>
      <c r="M68" s="57">
        <f>IF(L68=1,COUNTIF($L$8:L68,1),"")</f>
        <v>61</v>
      </c>
      <c r="N68" s="57" t="str">
        <f>IFERROR(INDEX(Tabla1[NOMBRE COMPLETO],MATCH(ROWS($M$8:M68),$M$8:$M$404,0)),"")</f>
        <v>PARALELO JR-XH  |  ADAPTADOR P/CARGA PARALELO JR-XH | ELECTRONICA</v>
      </c>
    </row>
    <row r="69" spans="12:14" ht="15" customHeight="1" x14ac:dyDescent="0.25">
      <c r="L69" s="57">
        <f>--ISNUMBER(IFERROR(SEARCH($E$6,General!$I$63,1),""))</f>
        <v>1</v>
      </c>
      <c r="M69" s="57">
        <f>IF(L69=1,COUNTIF($L$8:L69,1),"")</f>
        <v>62</v>
      </c>
      <c r="N69" s="57" t="str">
        <f>IFERROR(INDEX(Tabla1[NOMBRE COMPLETO],MATCH(ROWS($M$8:M69),$M$8:$M$404,0)),"")</f>
        <v xml:space="preserve">   |  ADAPTADOR TAMILLA MACHO 4MM. | ELECTRONICA</v>
      </c>
    </row>
    <row r="70" spans="12:14" ht="15" customHeight="1" x14ac:dyDescent="0.25">
      <c r="L70" s="57">
        <f>--ISNUMBER(IFERROR(SEARCH($E$6,General!$I$64,1),""))</f>
        <v>1</v>
      </c>
      <c r="M70" s="57">
        <f>IF(L70=1,COUNTIF($L$8:L70,1),"")</f>
        <v>63</v>
      </c>
      <c r="N70" s="57" t="str">
        <f>IFERROR(INDEX(Tabla1[NOMBRE COMPLETO],MATCH(ROWS($M$8:M70),$M$8:$M$404,0)),"")</f>
        <v xml:space="preserve">   |  CONECTOR BANANA-FUTABA P/CARGADOR | ELECTRONICA</v>
      </c>
    </row>
    <row r="71" spans="12:14" ht="15" customHeight="1" x14ac:dyDescent="0.25">
      <c r="L71" s="57">
        <f>--ISNUMBER(IFERROR(SEARCH($E$6,General!$I$65,1),""))</f>
        <v>1</v>
      </c>
      <c r="M71" s="57">
        <f>IF(L71=1,COUNTIF($L$8:L71,1),"")</f>
        <v>64</v>
      </c>
      <c r="N71" s="57" t="str">
        <f>IFERROR(INDEX(Tabla1[NOMBRE COMPLETO],MATCH(ROWS($M$8:M71),$M$8:$M$404,0)),"")</f>
        <v xml:space="preserve">   |  CONECTOR BANANA-JST P/CARGADOR | ELECTRONICA</v>
      </c>
    </row>
    <row r="72" spans="12:14" ht="15" customHeight="1" x14ac:dyDescent="0.25">
      <c r="L72" s="57">
        <f>--ISNUMBER(IFERROR(SEARCH($E$6,General!$I$66,1),""))</f>
        <v>1</v>
      </c>
      <c r="M72" s="57">
        <f>IF(L72=1,COUNTIF($L$8:L72,1),"")</f>
        <v>65</v>
      </c>
      <c r="N72" s="57" t="str">
        <f>IFERROR(INDEX(Tabla1[NOMBRE COMPLETO],MATCH(ROWS($M$8:M72),$M$8:$M$404,0)),"")</f>
        <v xml:space="preserve">   |  CONECTOR JR FUTABA DJI TWISTED 7 CM. | ELECTRONICA</v>
      </c>
    </row>
    <row r="73" spans="12:14" ht="15" customHeight="1" x14ac:dyDescent="0.25">
      <c r="L73" s="57">
        <f>--ISNUMBER(IFERROR(SEARCH($E$6,General!$I$67,1),""))</f>
        <v>1</v>
      </c>
      <c r="M73" s="57">
        <f>IF(L73=1,COUNTIF($L$8:L73,1),"")</f>
        <v>66</v>
      </c>
      <c r="N73" s="57" t="str">
        <f>IFERROR(INDEX(Tabla1[NOMBRE COMPLETO],MATCH(ROWS($M$8:M73),$M$8:$M$404,0)),"")</f>
        <v xml:space="preserve">   |  CONECTOR JST MACHO | ELECTRONICA</v>
      </c>
    </row>
    <row r="74" spans="12:14" ht="15" customHeight="1" x14ac:dyDescent="0.25">
      <c r="L74" s="57">
        <f>--ISNUMBER(IFERROR(SEARCH($E$6,General!$I$68,1),""))</f>
        <v>1</v>
      </c>
      <c r="M74" s="57">
        <f>IF(L74=1,COUNTIF($L$8:L74,1),"")</f>
        <v>67</v>
      </c>
      <c r="N74" s="57" t="str">
        <f>IFERROR(INDEX(Tabla1[NOMBRE COMPLETO],MATCH(ROWS($M$8:M74),$M$8:$M$404,0)),"")</f>
        <v xml:space="preserve">   |  CONECTOR JST MACHO C/CABLE 10 CM. | ELECTRONICA</v>
      </c>
    </row>
    <row r="75" spans="12:14" ht="15" customHeight="1" x14ac:dyDescent="0.25">
      <c r="L75" s="57">
        <f>--ISNUMBER(IFERROR(SEARCH($E$6,General!$I$69,1),""))</f>
        <v>1</v>
      </c>
      <c r="M75" s="57">
        <f>IF(L75=1,COUNTIF($L$8:L75,1),"")</f>
        <v>68</v>
      </c>
      <c r="N75" s="57" t="str">
        <f>IFERROR(INDEX(Tabla1[NOMBRE COMPLETO],MATCH(ROWS($M$8:M75),$M$8:$M$404,0)),"")</f>
        <v xml:space="preserve">   |  CONECTOR JST-XH HEMBRA | ELECTRONICA</v>
      </c>
    </row>
    <row r="76" spans="12:14" ht="15" customHeight="1" x14ac:dyDescent="0.25">
      <c r="L76" s="57">
        <f>--ISNUMBER(IFERROR(SEARCH($E$6,General!$I$70,1),""))</f>
        <v>1</v>
      </c>
      <c r="M76" s="57">
        <f>IF(L76=1,COUNTIF($L$8:L76,1),"")</f>
        <v>69</v>
      </c>
      <c r="N76" s="57" t="str">
        <f>IFERROR(INDEX(Tabla1[NOMBRE COMPLETO],MATCH(ROWS($M$8:M76),$M$8:$M$404,0)),"")</f>
        <v xml:space="preserve">   |  CONECTOR JST-XH MACHO | ELECTRONICA</v>
      </c>
    </row>
    <row r="77" spans="12:14" ht="15" customHeight="1" x14ac:dyDescent="0.25">
      <c r="L77" s="57">
        <f>--ISNUMBER(IFERROR(SEARCH($E$6,General!$I$71,1),""))</f>
        <v>1</v>
      </c>
      <c r="M77" s="57">
        <f>IF(L77=1,COUNTIF($L$8:L77,1),"")</f>
        <v>70</v>
      </c>
      <c r="N77" s="57" t="str">
        <f>IFERROR(INDEX(Tabla1[NOMBRE COMPLETO],MATCH(ROWS($M$8:M77),$M$8:$M$404,0)),"")</f>
        <v xml:space="preserve">   |  CONECTOR TIPO BANANA GOLD 3 MM. HEMBRA | ELECTRONICA</v>
      </c>
    </row>
    <row r="78" spans="12:14" ht="15" customHeight="1" x14ac:dyDescent="0.25">
      <c r="L78" s="57">
        <f>--ISNUMBER(IFERROR(SEARCH($E$6,General!$I$72,1),""))</f>
        <v>1</v>
      </c>
      <c r="M78" s="57">
        <f>IF(L78=1,COUNTIF($L$8:L78,1),"")</f>
        <v>71</v>
      </c>
      <c r="N78" s="57" t="str">
        <f>IFERROR(INDEX(Tabla1[NOMBRE COMPLETO],MATCH(ROWS($M$8:M78),$M$8:$M$404,0)),"")</f>
        <v xml:space="preserve">   |  CONECTOR TIPO BANANA GOLD 3 MM. MACHO | ELECTRONICA</v>
      </c>
    </row>
    <row r="79" spans="12:14" ht="15" customHeight="1" x14ac:dyDescent="0.25">
      <c r="L79" s="57">
        <f>--ISNUMBER(IFERROR(SEARCH($E$6,General!$I$73,1),""))</f>
        <v>1</v>
      </c>
      <c r="M79" s="57">
        <f>IF(L79=1,COUNTIF($L$8:L79,1),"")</f>
        <v>72</v>
      </c>
      <c r="N79" s="57" t="str">
        <f>IFERROR(INDEX(Tabla1[NOMBRE COMPLETO],MATCH(ROWS($M$8:M79),$M$8:$M$404,0)),"")</f>
        <v xml:space="preserve">   |  CONECTOR TIPO BANANA GOLD 4 MM. HEMBRA | ELECTRONICA</v>
      </c>
    </row>
    <row r="80" spans="12:14" ht="15" customHeight="1" x14ac:dyDescent="0.25">
      <c r="L80" s="57">
        <f>--ISNUMBER(IFERROR(SEARCH($E$6,General!$I$74,1),""))</f>
        <v>1</v>
      </c>
      <c r="M80" s="57">
        <f>IF(L80=1,COUNTIF($L$8:L80,1),"")</f>
        <v>73</v>
      </c>
      <c r="N80" s="57" t="str">
        <f>IFERROR(INDEX(Tabla1[NOMBRE COMPLETO],MATCH(ROWS($M$8:M80),$M$8:$M$404,0)),"")</f>
        <v xml:space="preserve">   |  CONECTOR TIPO BANANA GOLD 4 MM. MACHO | ELECTRONICA</v>
      </c>
    </row>
    <row r="81" spans="12:14" ht="15" customHeight="1" x14ac:dyDescent="0.25">
      <c r="L81" s="57">
        <f>--ISNUMBER(IFERROR(SEARCH($E$6,General!$I$75,1),""))</f>
        <v>1</v>
      </c>
      <c r="M81" s="57">
        <f>IF(L81=1,COUNTIF($L$8:L81,1),"")</f>
        <v>74</v>
      </c>
      <c r="N81" s="57" t="str">
        <f>IFERROR(INDEX(Tabla1[NOMBRE COMPLETO],MATCH(ROWS($M$8:M81),$M$8:$M$404,0)),"")</f>
        <v xml:space="preserve">   |  CONECTOR TP-FP 4S | ELECTRONICA</v>
      </c>
    </row>
    <row r="82" spans="12:14" ht="15" customHeight="1" x14ac:dyDescent="0.25">
      <c r="L82" s="57">
        <f>--ISNUMBER(IFERROR(SEARCH($E$6,General!$I$76,1),""))</f>
        <v>1</v>
      </c>
      <c r="M82" s="57">
        <f>IF(L82=1,COUNTIF($L$8:L82,1),"")</f>
        <v>75</v>
      </c>
      <c r="N82" s="57" t="str">
        <f>IFERROR(INDEX(Tabla1[NOMBRE COMPLETO],MATCH(ROWS($M$8:M82),$M$8:$M$404,0)),"")</f>
        <v xml:space="preserve">   |  CONECTOR XT60 HEMBRA | ELECTRONICA</v>
      </c>
    </row>
    <row r="83" spans="12:14" ht="15" customHeight="1" x14ac:dyDescent="0.25">
      <c r="L83" s="57">
        <f>--ISNUMBER(IFERROR(SEARCH($E$6,General!$I$77,1),""))</f>
        <v>1</v>
      </c>
      <c r="M83" s="57">
        <f>IF(L83=1,COUNTIF($L$8:L83,1),"")</f>
        <v>76</v>
      </c>
      <c r="N83" s="57" t="str">
        <f>IFERROR(INDEX(Tabla1[NOMBRE COMPLETO],MATCH(ROWS($M$8:M83),$M$8:$M$404,0)),"")</f>
        <v xml:space="preserve">   |  TERMINAL DE SERVO JR HEMBRA | ELECTRONICA</v>
      </c>
    </row>
    <row r="84" spans="12:14" ht="15" customHeight="1" x14ac:dyDescent="0.25">
      <c r="L84" s="57">
        <f>--ISNUMBER(IFERROR(SEARCH($E$6,General!$I$78,1),""))</f>
        <v>1</v>
      </c>
      <c r="M84" s="57">
        <f>IF(L84=1,COUNTIF($L$8:L84,1),"")</f>
        <v>77</v>
      </c>
      <c r="N84" s="57" t="str">
        <f>IFERROR(INDEX(Tabla1[NOMBRE COMPLETO],MATCH(ROWS($M$8:M84),$M$8:$M$404,0)),"")</f>
        <v xml:space="preserve">   |  TERMINAL DE SERVO JR MACHO | ELECTRONICA</v>
      </c>
    </row>
    <row r="85" spans="12:14" ht="15" customHeight="1" x14ac:dyDescent="0.25">
      <c r="L85" s="57">
        <f>--ISNUMBER(IFERROR(SEARCH($E$6,General!$I$79,1),""))</f>
        <v>1</v>
      </c>
      <c r="M85" s="57">
        <f>IF(L85=1,COUNTIF($L$8:L85,1),"")</f>
        <v>78</v>
      </c>
      <c r="N85" s="57" t="str">
        <f>IFERROR(INDEX(Tabla1[NOMBRE COMPLETO],MATCH(ROWS($M$8:M85),$M$8:$M$404,0)),"")</f>
        <v xml:space="preserve">   |  XT90 HEMBRA | ELECTRONICA</v>
      </c>
    </row>
    <row r="86" spans="12:14" ht="15" customHeight="1" x14ac:dyDescent="0.25">
      <c r="L86" s="57">
        <f>--ISNUMBER(IFERROR(SEARCH($E$6,General!$I$80,1),""))</f>
        <v>1</v>
      </c>
      <c r="M86" s="57">
        <f>IF(L86=1,COUNTIF($L$8:L86,1),"")</f>
        <v>79</v>
      </c>
      <c r="N86" s="57" t="str">
        <f>IFERROR(INDEX(Tabla1[NOMBRE COMPLETO],MATCH(ROWS($M$8:M86),$M$8:$M$404,0)),"")</f>
        <v xml:space="preserve">   |  XT90 MACHO | ELECTRONICA</v>
      </c>
    </row>
    <row r="87" spans="12:14" ht="15" customHeight="1" x14ac:dyDescent="0.25">
      <c r="L87" s="57">
        <f>--ISNUMBER(IFERROR(SEARCH($E$6,General!$I$81,1),""))</f>
        <v>1</v>
      </c>
      <c r="M87" s="57">
        <f>IF(L87=1,COUNTIF($L$8:L87,1),"")</f>
        <v>80</v>
      </c>
      <c r="N87" s="57" t="str">
        <f>IFERROR(INDEX(Tabla1[NOMBRE COMPLETO],MATCH(ROWS($M$8:M87),$M$8:$M$404,0)),"")</f>
        <v>Feiyu 3D - 01  |  GIMBAL FEIYU MINI 3D | GIMBAL</v>
      </c>
    </row>
    <row r="88" spans="12:14" ht="15" customHeight="1" x14ac:dyDescent="0.25">
      <c r="L88" s="57">
        <f>--ISNUMBER(IFERROR(SEARCH($E$6,General!$I$82,1),""))</f>
        <v>1</v>
      </c>
      <c r="M88" s="57">
        <f>IF(L88=1,COUNTIF($L$8:L88,1),"")</f>
        <v>81</v>
      </c>
      <c r="N88" s="57" t="str">
        <f>IFERROR(INDEX(Tabla1[NOMBRE COMPLETO],MATCH(ROWS($M$8:M88),$M$8:$M$404,0)),"")</f>
        <v>Feiyu 3D PRO-01  |  GIMBAL FEIYU MINI 3D PRO | GIMBAL</v>
      </c>
    </row>
    <row r="89" spans="12:14" ht="15" customHeight="1" x14ac:dyDescent="0.25">
      <c r="L89" s="57">
        <f>--ISNUMBER(IFERROR(SEARCH($E$6,General!$I$83,1),""))</f>
        <v>1</v>
      </c>
      <c r="M89" s="57">
        <f>IF(L89=1,COUNTIF($L$8:L89,1),"")</f>
        <v>82</v>
      </c>
      <c r="N89" s="57" t="str">
        <f>IFERROR(INDEX(Tabla1[NOMBRE COMPLETO],MATCH(ROWS($M$8:M89),$M$8:$M$404,0)),"")</f>
        <v xml:space="preserve">   |  USB-UART ADAPTADOR GIMBAL | GIMBAL</v>
      </c>
    </row>
    <row r="90" spans="12:14" ht="15" customHeight="1" x14ac:dyDescent="0.25">
      <c r="L90" s="57">
        <f>--ISNUMBER(IFERROR(SEARCH($E$6,General!$I$84,1),""))</f>
        <v>1</v>
      </c>
      <c r="M90" s="57">
        <f>IF(L90=1,COUNTIF($L$8:L90,1),"")</f>
        <v>83</v>
      </c>
      <c r="N90" s="57" t="str">
        <f>IFERROR(INDEX(Tabla1[NOMBRE COMPLETO],MATCH(ROWS($M$8:M90),$M$8:$M$404,0)),"")</f>
        <v xml:space="preserve">   |  ANTENA AOMWAY FORMA TREBOL 5.8G ONMIDIRECCIONAL 3 dB. | HARDWARE</v>
      </c>
    </row>
    <row r="91" spans="12:14" ht="15" customHeight="1" x14ac:dyDescent="0.25">
      <c r="L91" s="57">
        <f>--ISNUMBER(IFERROR(SEARCH($E$6,General!$I$85,1),""))</f>
        <v>1</v>
      </c>
      <c r="M91" s="57">
        <f>IF(L91=1,COUNTIF($L$8:L91,1),"")</f>
        <v>84</v>
      </c>
      <c r="N91" s="57" t="str">
        <f>IFERROR(INDEX(Tabla1[NOMBRE COMPLETO],MATCH(ROWS($M$8:M91),$M$8:$M$404,0)),"")</f>
        <v xml:space="preserve">   |  ANTENA CONICA AOMWAY 5.8 G HELICOIDAL 11 dB. | HARDWARE</v>
      </c>
    </row>
    <row r="92" spans="12:14" ht="15" customHeight="1" x14ac:dyDescent="0.25">
      <c r="L92" s="57">
        <f>--ISNUMBER(IFERROR(SEARCH($E$6,General!$I$86,1),""))</f>
        <v>1</v>
      </c>
      <c r="M92" s="57">
        <f>IF(L92=1,COUNTIF($L$8:L92,1),"")</f>
        <v>85</v>
      </c>
      <c r="N92" s="57" t="str">
        <f>IFERROR(INDEX(Tabla1[NOMBRE COMPLETO],MATCH(ROWS($M$8:M92),$M$8:$M$404,0)),"")</f>
        <v>PixH-01  |  CONTROLADOR DE VUELO PIXHAWK | HARDWARE</v>
      </c>
    </row>
    <row r="93" spans="12:14" ht="15" customHeight="1" x14ac:dyDescent="0.25">
      <c r="L93" s="57">
        <f>--ISNUMBER(IFERROR(SEARCH($E$6,General!$I$87,1),""))</f>
        <v>1</v>
      </c>
      <c r="M93" s="57">
        <f>IF(L93=1,COUNTIF($L$8:L93,1),"")</f>
        <v>86</v>
      </c>
      <c r="N93" s="57" t="str">
        <f>IFERROR(INDEX(Tabla1[NOMBRE COMPLETO],MATCH(ROWS($M$8:M93),$M$8:$M$404,0)),"")</f>
        <v>PixH-02  |  CONTROLADOR DE VUELO PIXHAWK (ARMADO) | HARDWARE</v>
      </c>
    </row>
    <row r="94" spans="12:14" ht="15" customHeight="1" x14ac:dyDescent="0.25">
      <c r="L94" s="57">
        <f>--ISNUMBER(IFERROR(SEARCH($E$6,General!$I$88,1),""))</f>
        <v>1</v>
      </c>
      <c r="M94" s="57">
        <f>IF(L94=1,COUNTIF($L$8:L94,1),"")</f>
        <v>87</v>
      </c>
      <c r="N94" s="57" t="str">
        <f>IFERROR(INDEX(Tabla1[NOMBRE COMPLETO],MATCH(ROWS($M$8:M94),$M$8:$M$404,0)),"")</f>
        <v>FPV-UAV-RX  |  FPV RADIO TELEMETRY AIR MODULE | HARDWARE</v>
      </c>
    </row>
    <row r="95" spans="12:14" ht="15" customHeight="1" x14ac:dyDescent="0.25">
      <c r="L95" s="57">
        <f>--ISNUMBER(IFERROR(SEARCH($E$6,General!$I$89,1),""))</f>
        <v>1</v>
      </c>
      <c r="M95" s="57">
        <f>IF(L95=1,COUNTIF($L$8:L95,1),"")</f>
        <v>88</v>
      </c>
      <c r="N95" s="57" t="str">
        <f>IFERROR(INDEX(Tabla1[NOMBRE COMPLETO],MATCH(ROWS($M$8:M95),$M$8:$M$404,0)),"")</f>
        <v>FPV-GCS-TX  |  FPV RADIO TELEMETRY GROUND STATION | HARDWARE</v>
      </c>
    </row>
    <row r="96" spans="12:14" ht="15" customHeight="1" x14ac:dyDescent="0.25">
      <c r="L96" s="57">
        <f>--ISNUMBER(IFERROR(SEARCH($E$6,General!$I$90,1),""))</f>
        <v>1</v>
      </c>
      <c r="M96" s="57">
        <f>IF(L96=1,COUNTIF($L$8:L96,1),"")</f>
        <v>89</v>
      </c>
      <c r="N96" s="57" t="str">
        <f>IFERROR(INDEX(Tabla1[NOMBRE COMPLETO],MATCH(ROWS($M$8:M96),$M$8:$M$404,0)),"")</f>
        <v xml:space="preserve">   |  RECEPTOR ACCST FRSKY-D4R II | HARDWARE</v>
      </c>
    </row>
    <row r="97" spans="12:14" ht="15" customHeight="1" x14ac:dyDescent="0.25">
      <c r="L97" s="57">
        <f>--ISNUMBER(IFERROR(SEARCH($E$6,General!$I$91,1),""))</f>
        <v>1</v>
      </c>
      <c r="M97" s="57">
        <f>IF(L97=1,COUNTIF($L$8:L97,1),"")</f>
        <v>90</v>
      </c>
      <c r="N97" s="57" t="str">
        <f>IFERROR(INDEX(Tabla1[NOMBRE COMPLETO],MATCH(ROWS($M$8:M97),$M$8:$M$404,0)),"")</f>
        <v>FRSky D8R-XP  |  RECEPTOR FRSKY D8R-XP 2.4 GHZ  | HARDWARE</v>
      </c>
    </row>
    <row r="98" spans="12:14" ht="15" customHeight="1" x14ac:dyDescent="0.25">
      <c r="L98" s="57">
        <f>--ISNUMBER(IFERROR(SEARCH($E$6,General!$I$92,1),""))</f>
        <v>1</v>
      </c>
      <c r="M98" s="57">
        <f>IF(L98=1,COUNTIF($L$8:L98,1),"")</f>
        <v>91</v>
      </c>
      <c r="N98" s="57" t="str">
        <f>IFERROR(INDEX(Tabla1[NOMBRE COMPLETO],MATCH(ROWS($M$8:M98),$M$8:$M$404,0)),"")</f>
        <v xml:space="preserve">   |  TRANSMISOR 5.8 G VIDEOLINK C/CABLES DE ALIMENTACION AVL58 | HARDWARE</v>
      </c>
    </row>
    <row r="99" spans="12:14" ht="15" customHeight="1" x14ac:dyDescent="0.25">
      <c r="L99" s="57">
        <f>--ISNUMBER(IFERROR(SEARCH($E$6,General!$I$93,1),""))</f>
        <v>1</v>
      </c>
      <c r="M99" s="57">
        <f>IF(L99=1,COUNTIF($L$8:L99,1),"")</f>
        <v>92</v>
      </c>
      <c r="N99" s="57" t="str">
        <f>IFERROR(INDEX(Tabla1[NOMBRE COMPLETO],MATCH(ROWS($M$8:M99),$M$8:$M$404,0)),"")</f>
        <v xml:space="preserve">   |  TRANSMISOR 5.8 G VIDEOLINK C/CABLES DE ALIMENTACION AVL58 | HARDWARE</v>
      </c>
    </row>
    <row r="100" spans="12:14" ht="15" customHeight="1" x14ac:dyDescent="0.25">
      <c r="L100" s="57">
        <f>--ISNUMBER(IFERROR(SEARCH($E$6,General!$I$94,1),""))</f>
        <v>1</v>
      </c>
      <c r="M100" s="57">
        <f>IF(L100=1,COUNTIF($L$8:L100,1),"")</f>
        <v>93</v>
      </c>
      <c r="N100" s="57" t="str">
        <f>IFERROR(INDEX(Tabla1[NOMBRE COMPLETO],MATCH(ROWS($M$8:M100),$M$8:$M$404,0)),"")</f>
        <v>UBEC12V-0X  |  X12 PRO UBEC 12V/4.5 A | HARDWARE</v>
      </c>
    </row>
    <row r="101" spans="12:14" ht="15" customHeight="1" x14ac:dyDescent="0.25">
      <c r="L101" s="57">
        <f>--ISNUMBER(IFERROR(SEARCH($E$6,General!$I$95,1),""))</f>
        <v>1</v>
      </c>
      <c r="M101" s="57">
        <f>IF(L101=1,COUNTIF($L$8:L101,1),"")</f>
        <v>94</v>
      </c>
      <c r="N101" s="57" t="str">
        <f>IFERROR(INDEX(Tabla1[NOMBRE COMPLETO],MATCH(ROWS($M$8:M101),$M$8:$M$404,0)),"")</f>
        <v>X3UBEC-01  |  X3 UBEC 5V/3A | HARDWARE</v>
      </c>
    </row>
    <row r="102" spans="12:14" ht="15" customHeight="1" x14ac:dyDescent="0.25">
      <c r="L102" s="57">
        <f>--ISNUMBER(IFERROR(SEARCH($E$6,General!$I$96,1),""))</f>
        <v>1</v>
      </c>
      <c r="M102" s="57">
        <f>IF(L102=1,COUNTIF($L$8:L102,1),"")</f>
        <v>95</v>
      </c>
      <c r="N102" s="57" t="str">
        <f>IFERROR(INDEX(Tabla1[NOMBRE COMPLETO],MATCH(ROWS($M$8:M102),$M$8:$M$404,0)),"")</f>
        <v>FPVScreen-01  |  ANTENA AOMWAY FORMA TREBOL 5.8G ONMIDIRECCIONAL 3 dB. | HARDWARE</v>
      </c>
    </row>
    <row r="103" spans="12:14" ht="15" customHeight="1" x14ac:dyDescent="0.25">
      <c r="L103" s="57">
        <f>--ISNUMBER(IFERROR(SEARCH($E$6,General!$I$97,1),""))</f>
        <v>1</v>
      </c>
      <c r="M103" s="57">
        <f>IF(L103=1,COUNTIF($L$8:L103,1),"")</f>
        <v>96</v>
      </c>
      <c r="N103" s="57" t="str">
        <f>IFERROR(INDEX(Tabla1[NOMBRE COMPLETO],MATCH(ROWS($M$8:M103),$M$8:$M$404,0)),"")</f>
        <v>FPVScreen-02  |  ANTENA CONICA AOMWAY 5.8 G HELICOIDAL 11 dB. | HARDWARE</v>
      </c>
    </row>
    <row r="104" spans="12:14" ht="15" customHeight="1" x14ac:dyDescent="0.25">
      <c r="L104" s="57">
        <f>--ISNUMBER(IFERROR(SEARCH($E$6,General!$I$98,1),""))</f>
        <v>1</v>
      </c>
      <c r="M104" s="57">
        <f>IF(L104=1,COUNTIF($L$8:L104,1),"")</f>
        <v>97</v>
      </c>
      <c r="N104" s="57" t="str">
        <f>IFERROR(INDEX(Tabla1[NOMBRE COMPLETO],MATCH(ROWS($M$8:M104),$M$8:$M$404,0)),"")</f>
        <v xml:space="preserve">   |  CONTROLADOR DE VUELO PIXHAWK | HARDWARE</v>
      </c>
    </row>
    <row r="105" spans="12:14" ht="15" customHeight="1" x14ac:dyDescent="0.25">
      <c r="L105" s="57">
        <f>--ISNUMBER(IFERROR(SEARCH($E$6,General!$I$99,1),""))</f>
        <v>1</v>
      </c>
      <c r="M105" s="57">
        <f>IF(L105=1,COUNTIF($L$8:L105,1),"")</f>
        <v>98</v>
      </c>
      <c r="N105" s="57" t="str">
        <f>IFERROR(INDEX(Tabla1[NOMBRE COMPLETO],MATCH(ROWS($M$8:M105),$M$8:$M$404,0)),"")</f>
        <v xml:space="preserve">   |  CONTROLADOR DE VUELO PIXHAWK (ARMADO) | HARDWARE</v>
      </c>
    </row>
    <row r="106" spans="12:14" ht="15" customHeight="1" x14ac:dyDescent="0.25">
      <c r="L106" s="57">
        <f>--ISNUMBER(IFERROR(SEARCH($E$6,General!$I$100,1),""))</f>
        <v>1</v>
      </c>
      <c r="M106" s="57">
        <f>IF(L106=1,COUNTIF($L$8:L106,1),"")</f>
        <v>99</v>
      </c>
      <c r="N106" s="57" t="str">
        <f>IFERROR(INDEX(Tabla1[NOMBRE COMPLETO],MATCH(ROWS($M$8:M106),$M$8:$M$404,0)),"")</f>
        <v>Must-ON-01  |  MONITOR DE VIDEO MUST  HD ON-CAMERA FIELD | HARDWARE</v>
      </c>
    </row>
    <row r="107" spans="12:14" ht="15" customHeight="1" x14ac:dyDescent="0.25">
      <c r="L107" s="57">
        <f>--ISNUMBER(IFERROR(SEARCH($E$6,General!$I$101,1),""))</f>
        <v>1</v>
      </c>
      <c r="M107" s="57">
        <f>IF(L107=1,COUNTIF($L$8:L107,1),"")</f>
        <v>100</v>
      </c>
      <c r="N107" s="57" t="str">
        <f>IFERROR(INDEX(Tabla1[NOMBRE COMPLETO],MATCH(ROWS($M$8:M107),$M$8:$M$404,0)),"")</f>
        <v xml:space="preserve">   |  CABLE HDMI - HDMI 15 PIES MUST ON | HARDWARE</v>
      </c>
    </row>
    <row r="108" spans="12:14" ht="15" customHeight="1" x14ac:dyDescent="0.25">
      <c r="L108" s="57">
        <f>--ISNUMBER(IFERROR(SEARCH($E$6,General!$I$102,1),""))</f>
        <v>1</v>
      </c>
      <c r="M108" s="57">
        <f>IF(L108=1,COUNTIF($L$8:L108,1),"")</f>
        <v>101</v>
      </c>
      <c r="N108" s="57" t="str">
        <f>IFERROR(INDEX(Tabla1[NOMBRE COMPLETO],MATCH(ROWS($M$8:M108),$M$8:$M$404,0)),"")</f>
        <v xml:space="preserve">   |  CABLE HDMI  - MINI HDMI 1.8 METROS MUST ON | HARDWARE</v>
      </c>
    </row>
    <row r="109" spans="12:14" ht="15" customHeight="1" x14ac:dyDescent="0.25">
      <c r="L109" s="57">
        <f>--ISNUMBER(IFERROR(SEARCH($E$6,General!$I$103,1),""))</f>
        <v>1</v>
      </c>
      <c r="M109" s="57">
        <f>IF(L109=1,COUNTIF($L$8:L109,1),"")</f>
        <v>102</v>
      </c>
      <c r="N109" s="57" t="str">
        <f>IFERROR(INDEX(Tabla1[NOMBRE COMPLETO],MATCH(ROWS($M$8:M109),$M$8:$M$404,0)),"")</f>
        <v>FPVScreen-01  |  Black Pearl RC801 5.8Ghz 7" HD Screen Diversity Monitor | HARDWARE</v>
      </c>
    </row>
    <row r="110" spans="12:14" ht="15" customHeight="1" x14ac:dyDescent="0.25">
      <c r="L110" s="57">
        <f>--ISNUMBER(IFERROR(SEARCH($E$6,General!$I$104,1),""))</f>
        <v>1</v>
      </c>
      <c r="M110" s="57">
        <f>IF(L110=1,COUNTIF($L$8:L110,1),"")</f>
        <v>103</v>
      </c>
      <c r="N110" s="57" t="str">
        <f>IFERROR(INDEX(Tabla1[NOMBRE COMPLETO],MATCH(ROWS($M$8:M110),$M$8:$M$404,0)),"")</f>
        <v>FPVScreen-02  |  Black Pearl RC801 5.8Ghz 7" HD Screen Diversity Monitor | HARDWARE</v>
      </c>
    </row>
    <row r="111" spans="12:14" ht="15" customHeight="1" x14ac:dyDescent="0.25">
      <c r="L111" s="57">
        <f>--ISNUMBER(IFERROR(SEARCH($E$6,General!$I$105,1),""))</f>
        <v>1</v>
      </c>
      <c r="M111" s="57">
        <f>IF(L111=1,COUNTIF($L$8:L111,1),"")</f>
        <v>104</v>
      </c>
      <c r="N111" s="57" t="str">
        <f>IFERROR(INDEX(Tabla1[NOMBRE COMPLETO],MATCH(ROWS($M$8:M111),$M$8:$M$404,0)),"")</f>
        <v>BALANCER-01  |  BALANCER TRU-SPIN PROP MARCA "ZEN JIN DA" | HERRAMIENTA</v>
      </c>
    </row>
    <row r="112" spans="12:14" ht="15" customHeight="1" x14ac:dyDescent="0.25">
      <c r="L112" s="57">
        <f>--ISNUMBER(IFERROR(SEARCH($E$6,General!$I$106,1),""))</f>
        <v>1</v>
      </c>
      <c r="M112" s="57">
        <f>IF(L112=1,COUNTIF($L$8:L112,1),"")</f>
        <v>105</v>
      </c>
      <c r="N112" s="57" t="str">
        <f>IFERROR(INDEX(Tabla1[NOMBRE COMPLETO],MATCH(ROWS($M$8:M112),$M$8:$M$404,0)),"")</f>
        <v xml:space="preserve">   |  BARRAS SILICON 4''X0.45'' MARCA STANLEY | HERRAMIENTA</v>
      </c>
    </row>
    <row r="113" spans="12:14" ht="15" customHeight="1" x14ac:dyDescent="0.25">
      <c r="L113" s="57">
        <f>--ISNUMBER(IFERROR(SEARCH($E$6,General!$I$107,1),""))</f>
        <v>1</v>
      </c>
      <c r="M113" s="57">
        <f>IF(L113=1,COUNTIF($L$8:L113,1),"")</f>
        <v>106</v>
      </c>
      <c r="N113" s="57" t="str">
        <f>IFERROR(INDEX(Tabla1[NOMBRE COMPLETO],MATCH(ROWS($M$8:M113),$M$8:$M$404,0)),"")</f>
        <v xml:space="preserve">   |  BASE CAUTIN MARCA STEREN | HERRAMIENTA</v>
      </c>
    </row>
    <row r="114" spans="12:14" ht="15" customHeight="1" x14ac:dyDescent="0.25">
      <c r="L114" s="57">
        <f>--ISNUMBER(IFERROR(SEARCH($E$6,General!$I$108,1),""))</f>
        <v>1</v>
      </c>
      <c r="M114" s="57">
        <f>IF(L114=1,COUNTIF($L$8:L114,1),"")</f>
        <v>107</v>
      </c>
      <c r="N114" s="57" t="str">
        <f>IFERROR(INDEX(Tabla1[NOMBRE COMPLETO],MATCH(ROWS($M$8:M114),$M$8:$M$404,0)),"")</f>
        <v>CAUTIN-01  |  CAUTIN MARCA WELLER 25W | HERRAMIENTA</v>
      </c>
    </row>
    <row r="115" spans="12:14" ht="15" customHeight="1" x14ac:dyDescent="0.25">
      <c r="L115" s="57">
        <f>--ISNUMBER(IFERROR(SEARCH($E$6,General!$I$109,1),""))</f>
        <v>1</v>
      </c>
      <c r="M115" s="57">
        <f>IF(L115=1,COUNTIF($L$8:L115,1),"")</f>
        <v>108</v>
      </c>
      <c r="N115" s="57" t="str">
        <f>IFERROR(INDEX(Tabla1[NOMBRE COMPLETO],MATCH(ROWS($M$8:M115),$M$8:$M$404,0)),"")</f>
        <v>CINTAM-01  |  CINTA METRICA TOOLCRAFT 3M. | HERRAMIENTA</v>
      </c>
    </row>
    <row r="116" spans="12:14" ht="15" customHeight="1" x14ac:dyDescent="0.25">
      <c r="L116" s="57">
        <f>--ISNUMBER(IFERROR(SEARCH($E$6,General!$I$110,1),""))</f>
        <v>1</v>
      </c>
      <c r="M116" s="57">
        <f>IF(L116=1,COUNTIF($L$8:L116,1),"")</f>
        <v>109</v>
      </c>
      <c r="N116" s="57" t="str">
        <f>IFERROR(INDEX(Tabla1[NOMBRE COMPLETO],MATCH(ROWS($M$8:M116),$M$8:$M$404,0)),"")</f>
        <v xml:space="preserve">   |  HOJAS PARA LIJAR (MOD. 80, 220 320) | HERRAMIENTA</v>
      </c>
    </row>
    <row r="117" spans="12:14" ht="15" customHeight="1" x14ac:dyDescent="0.25">
      <c r="L117" s="57">
        <f>--ISNUMBER(IFERROR(SEARCH($E$6,General!$I$111,1),""))</f>
        <v>1</v>
      </c>
      <c r="M117" s="57">
        <f>IF(L117=1,COUNTIF($L$8:L117,1),"")</f>
        <v>110</v>
      </c>
      <c r="N117" s="57" t="str">
        <f>IFERROR(INDEX(Tabla1[NOMBRE COMPLETO],MATCH(ROWS($M$8:M117),$M$8:$M$404,0)),"")</f>
        <v>DESARMADORES-01  |  JUEGO DE DESARMADORES MARCA TRUPER JOY-6 | HERRAMIENTA</v>
      </c>
    </row>
    <row r="118" spans="12:14" ht="15" customHeight="1" x14ac:dyDescent="0.25">
      <c r="L118" s="57">
        <f>--ISNUMBER(IFERROR(SEARCH($E$6,General!$I$112,1),""))</f>
        <v>1</v>
      </c>
      <c r="M118" s="57">
        <f>IF(L118=1,COUNTIF($L$8:L118,1),"")</f>
        <v>111</v>
      </c>
      <c r="N118" s="57" t="str">
        <f>IFERROR(INDEX(Tabla1[NOMBRE COMPLETO],MATCH(ROWS($M$8:M118),$M$8:$M$404,0)),"")</f>
        <v xml:space="preserve">   |  JUEGO DE LLAVES ALLEN MARCA TURNIGY | HERRAMIENTA</v>
      </c>
    </row>
    <row r="119" spans="12:14" ht="15" customHeight="1" x14ac:dyDescent="0.25">
      <c r="L119" s="57">
        <f>--ISNUMBER(IFERROR(SEARCH($E$6,General!$I$113,1),""))</f>
        <v>1</v>
      </c>
      <c r="M119" s="57">
        <f>IF(L119=1,COUNTIF($L$8:L119,1),"")</f>
        <v>112</v>
      </c>
      <c r="N119" s="57" t="str">
        <f>IFERROR(INDEX(Tabla1[NOMBRE COMPLETO],MATCH(ROWS($M$8:M119),$M$8:$M$404,0)),"")</f>
        <v xml:space="preserve">   |  JUEGO DE NAVAJAS PARA CUTTER | HERRAMIENTA</v>
      </c>
    </row>
    <row r="120" spans="12:14" ht="15" customHeight="1" x14ac:dyDescent="0.25">
      <c r="L120" s="57">
        <f>--ISNUMBER(IFERROR(SEARCH($E$6,General!$I$114,1),""))</f>
        <v>1</v>
      </c>
      <c r="M120" s="57">
        <f>IF(L120=1,COUNTIF($L$8:L120,1),"")</f>
        <v>113</v>
      </c>
      <c r="N120" s="57" t="str">
        <f>IFERROR(INDEX(Tabla1[NOMBRE COMPLETO],MATCH(ROWS($M$8:M120),$M$8:$M$404,0)),"")</f>
        <v xml:space="preserve">   |  JUEGO DE SUJECION (PINZAS Y LUPA) STEREN | HERRAMIENTA</v>
      </c>
    </row>
    <row r="121" spans="12:14" ht="15" customHeight="1" x14ac:dyDescent="0.25">
      <c r="L121" s="57">
        <f>--ISNUMBER(IFERROR(SEARCH($E$6,General!$I$115,1),""))</f>
        <v>1</v>
      </c>
      <c r="M121" s="57">
        <f>IF(L121=1,COUNTIF($L$8:L121,1),"")</f>
        <v>114</v>
      </c>
      <c r="N121" s="57" t="str">
        <f>IFERROR(INDEX(Tabla1[NOMBRE COMPLETO],MATCH(ROWS($M$8:M121),$M$8:$M$404,0)),"")</f>
        <v>ALLEN-IN  |  JUEGO LLANES ALLEN POR PULGADA | HERRAMIENTA</v>
      </c>
    </row>
    <row r="122" spans="12:14" ht="15" customHeight="1" x14ac:dyDescent="0.25">
      <c r="L122" s="57">
        <f>--ISNUMBER(IFERROR(SEARCH($E$6,General!$I$116,1),""))</f>
        <v>1</v>
      </c>
      <c r="M122" s="57">
        <f>IF(L122=1,COUNTIF($L$8:L122,1),"")</f>
        <v>115</v>
      </c>
      <c r="N122" s="57" t="str">
        <f>IFERROR(INDEX(Tabla1[NOMBRE COMPLETO],MATCH(ROWS($M$8:M122),$M$8:$M$404,0)),"")</f>
        <v>ALLEN-MM  |  JUEGO LLAVES ALLEN MILIMETRICAS | HERRAMIENTA</v>
      </c>
    </row>
    <row r="123" spans="12:14" ht="15" customHeight="1" x14ac:dyDescent="0.25">
      <c r="L123" s="57">
        <f>--ISNUMBER(IFERROR(SEARCH($E$6,General!$I$117,1),""))</f>
        <v>1</v>
      </c>
      <c r="M123" s="57">
        <f>IF(L123=1,COUNTIF($L$8:L123,1),"")</f>
        <v>116</v>
      </c>
      <c r="N123" s="57" t="str">
        <f>IFERROR(INDEX(Tabla1[NOMBRE COMPLETO],MATCH(ROWS($M$8:M123),$M$8:$M$404,0)),"")</f>
        <v xml:space="preserve">   |  LIJADORA CIRCULAR MARCA TRUPER | HERRAMIENTA</v>
      </c>
    </row>
    <row r="124" spans="12:14" ht="15" customHeight="1" x14ac:dyDescent="0.25">
      <c r="L124" s="57">
        <f>--ISNUMBER(IFERROR(SEARCH($E$6,General!$I$118,1),""))</f>
        <v>1</v>
      </c>
      <c r="M124" s="57">
        <f>IF(L124=1,COUNTIF($L$8:L124,1),"")</f>
        <v>117</v>
      </c>
      <c r="N124" s="57" t="str">
        <f>IFERROR(INDEX(Tabla1[NOMBRE COMPLETO],MATCH(ROWS($M$8:M124),$M$8:$M$404,0)),"")</f>
        <v xml:space="preserve">   |  LIJADORA RECTANGULAR MARCA TRUPPER 15151 | HERRAMIENTA</v>
      </c>
    </row>
    <row r="125" spans="12:14" ht="15" customHeight="1" x14ac:dyDescent="0.25">
      <c r="L125" s="57">
        <f>--ISNUMBER(IFERROR(SEARCH($E$6,General!$I$119,1),""))</f>
        <v>1</v>
      </c>
      <c r="M125" s="57">
        <f>IF(L125=1,COUNTIF($L$8:L125,1),"")</f>
        <v>118</v>
      </c>
      <c r="N125" s="57" t="str">
        <f>IFERROR(INDEX(Tabla1[NOMBRE COMPLETO],MATCH(ROWS($M$8:M125),$M$8:$M$404,0)),"")</f>
        <v xml:space="preserve">   |  LIJADORA TRIANGULAR MARCA TRUPPER 15133 | HERRAMIENTA</v>
      </c>
    </row>
    <row r="126" spans="12:14" ht="15" customHeight="1" x14ac:dyDescent="0.25">
      <c r="L126" s="57">
        <f>--ISNUMBER(IFERROR(SEARCH($E$6,General!$I$120,1),""))</f>
        <v>1</v>
      </c>
      <c r="M126" s="57">
        <f>IF(L126=1,COUNTIF($L$8:L126,1),"")</f>
        <v>119</v>
      </c>
      <c r="N126" s="57" t="str">
        <f>IFERROR(INDEX(Tabla1[NOMBRE COMPLETO],MATCH(ROWS($M$8:M126),$M$8:$M$404,0)),"")</f>
        <v>SEGUETA-02  |  MANGO PARA SEGUETA COLOR NARANJA 6'' | HERRAMIENTA</v>
      </c>
    </row>
    <row r="127" spans="12:14" ht="15" customHeight="1" x14ac:dyDescent="0.25">
      <c r="L127" s="57">
        <f>--ISNUMBER(IFERROR(SEARCH($E$6,General!$I$121,1),""))</f>
        <v>1</v>
      </c>
      <c r="M127" s="57">
        <f>IF(L127=1,COUNTIF($L$8:L127,1),"")</f>
        <v>120</v>
      </c>
      <c r="N127" s="57" t="str">
        <f>IFERROR(INDEX(Tabla1[NOMBRE COMPLETO],MATCH(ROWS($M$8:M127),$M$8:$M$404,0)),"")</f>
        <v>SEGUETA-01  |  MANGO PARA SEGUETA COLOR NEGRO 12'' | HERRAMIENTA</v>
      </c>
    </row>
    <row r="128" spans="12:14" ht="15" customHeight="1" x14ac:dyDescent="0.25">
      <c r="L128" s="57">
        <f>--ISNUMBER(IFERROR(SEARCH($E$6,General!$I$122,1),""))</f>
        <v>1</v>
      </c>
      <c r="M128" s="57">
        <f>IF(L128=1,COUNTIF($L$8:L128,1),"")</f>
        <v>121</v>
      </c>
      <c r="N128" s="57" t="str">
        <f>IFERROR(INDEX(Tabla1[NOMBRE COMPLETO],MATCH(ROWS($M$8:M128),$M$8:$M$404,0)),"")</f>
        <v>MARTILLO-01  |  MARTILLO UÑA CURVA MARCA WOLFFOX | HERRAMIENTA</v>
      </c>
    </row>
    <row r="129" spans="12:14" ht="15" customHeight="1" x14ac:dyDescent="0.25">
      <c r="L129" s="57">
        <f>--ISNUMBER(IFERROR(SEARCH($E$6,General!$I$123,1),""))</f>
        <v>1</v>
      </c>
      <c r="M129" s="57">
        <f>IF(L129=1,COUNTIF($L$8:L129,1),"")</f>
        <v>122</v>
      </c>
      <c r="N129" s="57" t="str">
        <f>IFERROR(INDEX(Tabla1[NOMBRE COMPLETO],MATCH(ROWS($M$8:M129),$M$8:$M$404,0)),"")</f>
        <v>MULTIMETRO-01  |  MULTIMETRO TRUPER MUT-33 | HERRAMIENTA</v>
      </c>
    </row>
    <row r="130" spans="12:14" ht="15" customHeight="1" x14ac:dyDescent="0.25">
      <c r="L130" s="57">
        <f>--ISNUMBER(IFERROR(SEARCH($E$6,General!$I$124,1),""))</f>
        <v>1</v>
      </c>
      <c r="M130" s="57">
        <f>IF(L130=1,COUNTIF($L$8:L130,1),"")</f>
        <v>123</v>
      </c>
      <c r="N130" s="57" t="str">
        <f>IFERROR(INDEX(Tabla1[NOMBRE COMPLETO],MATCH(ROWS($M$8:M130),$M$8:$M$404,0)),"")</f>
        <v>CUTTER-02  |  NAVAJA TIPO CUTTER MARCA PRETUL | HERRAMIENTA</v>
      </c>
    </row>
    <row r="131" spans="12:14" ht="15" customHeight="1" x14ac:dyDescent="0.25">
      <c r="L131" s="57">
        <f>--ISNUMBER(IFERROR(SEARCH($E$6,General!$I$125,1),""))</f>
        <v>1</v>
      </c>
      <c r="M131" s="57">
        <f>IF(L131=1,COUNTIF($L$8:L131,1),"")</f>
        <v>124</v>
      </c>
      <c r="N131" s="57" t="str">
        <f>IFERROR(INDEX(Tabla1[NOMBRE COMPLETO],MATCH(ROWS($M$8:M131),$M$8:$M$404,0)),"")</f>
        <v>CUTTER-01  |  NAVAJA TIPO CUTTER MARCA TRUPER  | HERRAMIENTA</v>
      </c>
    </row>
    <row r="132" spans="12:14" ht="15" customHeight="1" x14ac:dyDescent="0.25">
      <c r="L132" s="57">
        <f>--ISNUMBER(IFERROR(SEARCH($E$6,General!$I$126,1),""))</f>
        <v>1</v>
      </c>
      <c r="M132" s="57">
        <f>IF(L132=1,COUNTIF($L$8:L132,1),"")</f>
        <v>125</v>
      </c>
      <c r="N132" s="57" t="str">
        <f>IFERROR(INDEX(Tabla1[NOMBRE COMPLETO],MATCH(ROWS($M$8:M132),$M$8:$M$404,0)),"")</f>
        <v>PINZAS-01  |  PINZAS TIPO PUNTA MARCA TRUPER  | HERRAMIENTA</v>
      </c>
    </row>
    <row r="133" spans="12:14" ht="15" customHeight="1" x14ac:dyDescent="0.25">
      <c r="L133" s="57">
        <f>--ISNUMBER(IFERROR(SEARCH($E$6,General!$I$127,1),""))</f>
        <v>1</v>
      </c>
      <c r="M133" s="57">
        <f>IF(L133=1,COUNTIF($L$8:L133,1),"")</f>
        <v>126</v>
      </c>
      <c r="N133" s="57" t="str">
        <f>IFERROR(INDEX(Tabla1[NOMBRE COMPLETO],MATCH(ROWS($M$8:M133),$M$8:$M$404,0)),"")</f>
        <v>PINZAS-02  |  PINZAS TIPO PUNTA PARA CORTAR CABLE MARCA TRUPER | HERRAMIENTA</v>
      </c>
    </row>
    <row r="134" spans="12:14" ht="15" customHeight="1" x14ac:dyDescent="0.25">
      <c r="L134" s="57">
        <f>--ISNUMBER(IFERROR(SEARCH($E$6,General!$I$128,1),""))</f>
        <v>1</v>
      </c>
      <c r="M134" s="57">
        <f>IF(L134=1,COUNTIF($L$8:L134,1),"")</f>
        <v>127</v>
      </c>
      <c r="N134" s="57" t="str">
        <f>IFERROR(INDEX(Tabla1[NOMBRE COMPLETO],MATCH(ROWS($M$8:M134),$M$8:$M$404,0)),"")</f>
        <v>PINZAS-03  |  PINZAS TIPO SUJETADOR PARA CORTAR CABLE | HERRAMIENTA</v>
      </c>
    </row>
    <row r="135" spans="12:14" ht="15" customHeight="1" x14ac:dyDescent="0.25">
      <c r="L135" s="57">
        <f>--ISNUMBER(IFERROR(SEARCH($E$6,General!$I$129,1),""))</f>
        <v>1</v>
      </c>
      <c r="M135" s="57">
        <f>IF(L135=1,COUNTIF($L$8:L135,1),"")</f>
        <v>128</v>
      </c>
      <c r="N135" s="57" t="str">
        <f>IFERROR(INDEX(Tabla1[NOMBRE COMPLETO],MATCH(ROWS($M$8:M135),$M$8:$M$404,0)),"")</f>
        <v>GG-01  |  PISTOLA SILICON MARCA STANLEY GR25  | HERRAMIENTA</v>
      </c>
    </row>
    <row r="136" spans="12:14" ht="15" customHeight="1" x14ac:dyDescent="0.25">
      <c r="L136" s="57">
        <f>--ISNUMBER(IFERROR(SEARCH($E$6,General!$I$130,1),""))</f>
        <v>1</v>
      </c>
      <c r="M136" s="57">
        <f>IF(L136=1,COUNTIF($L$8:L136,1),"")</f>
        <v>129</v>
      </c>
      <c r="N136" s="57" t="str">
        <f>IFERROR(INDEX(Tabla1[NOMBRE COMPLETO],MATCH(ROWS($M$8:M136),$M$8:$M$404,0)),"")</f>
        <v xml:space="preserve">   |  TIJERAS MARCA OFFICE DEPOT 20 CM. | HERRAMIENTA</v>
      </c>
    </row>
    <row r="137" spans="12:14" ht="15" customHeight="1" x14ac:dyDescent="0.25">
      <c r="L137" s="57">
        <f>--ISNUMBER(IFERROR(SEARCH($E$6,General!$I$131,1),""))</f>
        <v>1</v>
      </c>
      <c r="M137" s="57">
        <f>IF(L137=1,COUNTIF($L$8:L137,1),"")</f>
        <v>130</v>
      </c>
      <c r="N137" s="57" t="str">
        <f>IFERROR(INDEX(Tabla1[NOMBRE COMPLETO],MATCH(ROWS($M$8:M137),$M$8:$M$404,0)),"")</f>
        <v xml:space="preserve">   |  ACELERADOR DE ADHESIVOS XINOVA A12 | INSUMOS</v>
      </c>
    </row>
    <row r="138" spans="12:14" ht="15" customHeight="1" x14ac:dyDescent="0.25">
      <c r="L138" s="57">
        <f>--ISNUMBER(IFERROR(SEARCH($E$6,General!$I$132,1),""))</f>
        <v>1</v>
      </c>
      <c r="M138" s="57">
        <f>IF(L138=1,COUNTIF($L$8:L138,1),"")</f>
        <v>131</v>
      </c>
      <c r="N138" s="57" t="str">
        <f>IFERROR(INDEX(Tabla1[NOMBRE COMPLETO],MATCH(ROWS($M$8:M138),$M$8:$M$404,0)),"")</f>
        <v xml:space="preserve">   |  ADHESIVO EN SPRAY SCOTCH SUPER 77 | INSUMOS</v>
      </c>
    </row>
    <row r="139" spans="12:14" ht="15" customHeight="1" x14ac:dyDescent="0.25">
      <c r="L139" s="57">
        <f>--ISNUMBER(IFERROR(SEARCH($E$6,General!$I$133,1),""))</f>
        <v>1</v>
      </c>
      <c r="M139" s="57">
        <f>IF(L139=1,COUNTIF($L$8:L139,1),"")</f>
        <v>132</v>
      </c>
      <c r="N139" s="57" t="str">
        <f>IFERROR(INDEX(Tabla1[NOMBRE COMPLETO],MATCH(ROWS($M$8:M139),$M$8:$M$404,0)),"")</f>
        <v xml:space="preserve">   |  ADHESIVO INSTANTANEO LOCTITE 460 | INSUMOS</v>
      </c>
    </row>
    <row r="140" spans="12:14" ht="15" customHeight="1" x14ac:dyDescent="0.25">
      <c r="L140" s="57">
        <f>--ISNUMBER(IFERROR(SEARCH($E$6,General!$I$134,1),""))</f>
        <v>1</v>
      </c>
      <c r="M140" s="57">
        <f>IF(L140=1,COUNTIF($L$8:L140,1),"")</f>
        <v>133</v>
      </c>
      <c r="N140" s="57" t="str">
        <f>IFERROR(INDEX(Tabla1[NOMBRE COMPLETO],MATCH(ROWS($M$8:M140),$M$8:$M$404,0)),"")</f>
        <v xml:space="preserve">   |  CIENTO DE  CLAVOS MADERA 1'' | INSUMOS</v>
      </c>
    </row>
    <row r="141" spans="12:14" ht="15" customHeight="1" x14ac:dyDescent="0.25">
      <c r="L141" s="57">
        <f>--ISNUMBER(IFERROR(SEARCH($E$6,General!$I$135,1),""))</f>
        <v>1</v>
      </c>
      <c r="M141" s="57">
        <f>IF(L141=1,COUNTIF($L$8:L141,1),"")</f>
        <v>134</v>
      </c>
      <c r="N141" s="57" t="str">
        <f>IFERROR(INDEX(Tabla1[NOMBRE COMPLETO],MATCH(ROWS($M$8:M141),$M$8:$M$404,0)),"")</f>
        <v xml:space="preserve">   |  CIENTO DE CLAVOS CONCRETO 1'' | INSUMOS</v>
      </c>
    </row>
    <row r="142" spans="12:14" ht="15" customHeight="1" x14ac:dyDescent="0.25">
      <c r="L142" s="57">
        <f>--ISNUMBER(IFERROR(SEARCH($E$6,General!$I$136,1),""))</f>
        <v>1</v>
      </c>
      <c r="M142" s="57">
        <f>IF(L142=1,COUNTIF($L$8:L142,1),"")</f>
        <v>135</v>
      </c>
      <c r="N142" s="57" t="str">
        <f>IFERROR(INDEX(Tabla1[NOMBRE COMPLETO],MATCH(ROWS($M$8:M142),$M$8:$M$404,0)),"")</f>
        <v xml:space="preserve">   |  CINTA ADHESIVA TIPO MASKIN 1.5 cm | INSUMOS</v>
      </c>
    </row>
    <row r="143" spans="12:14" ht="15" customHeight="1" x14ac:dyDescent="0.25">
      <c r="L143" s="57">
        <f>--ISNUMBER(IFERROR(SEARCH($E$6,General!$I$137,1),""))</f>
        <v>1</v>
      </c>
      <c r="M143" s="57">
        <f>IF(L143=1,COUNTIF($L$8:L143,1),"")</f>
        <v>136</v>
      </c>
      <c r="N143" s="57" t="str">
        <f>IFERROR(INDEX(Tabla1[NOMBRE COMPLETO],MATCH(ROWS($M$8:M143),$M$8:$M$404,0)),"")</f>
        <v xml:space="preserve">   |  CINTA DOBLE ADHESIVO 2 cm | INSUMOS</v>
      </c>
    </row>
    <row r="144" spans="12:14" ht="15" customHeight="1" x14ac:dyDescent="0.25">
      <c r="L144" s="57">
        <f>--ISNUMBER(IFERROR(SEARCH($E$6,General!$I$138,1),""))</f>
        <v>1</v>
      </c>
      <c r="M144" s="57">
        <f>IF(L144=1,COUNTIF($L$8:L144,1),"")</f>
        <v>137</v>
      </c>
      <c r="N144" s="57" t="str">
        <f>IFERROR(INDEX(Tabla1[NOMBRE COMPLETO],MATCH(ROWS($M$8:M144),$M$8:$M$404,0)),"")</f>
        <v xml:space="preserve">   |  CINTA TERMOFIT 3/16'' | INSUMOS</v>
      </c>
    </row>
    <row r="145" spans="12:14" ht="15" customHeight="1" x14ac:dyDescent="0.25">
      <c r="L145" s="57">
        <f>--ISNUMBER(IFERROR(SEARCH($E$6,General!$I$139,1),""))</f>
        <v>1</v>
      </c>
      <c r="M145" s="57">
        <f>IF(L145=1,COUNTIF($L$8:L145,1),"")</f>
        <v>138</v>
      </c>
      <c r="N145" s="57" t="str">
        <f>IFERROR(INDEX(Tabla1[NOMBRE COMPLETO],MATCH(ROWS($M$8:M145),$M$8:$M$404,0)),"")</f>
        <v xml:space="preserve">   |  CINTA TERMOFIT 7/16'' | INSUMOS</v>
      </c>
    </row>
    <row r="146" spans="12:14" ht="15" customHeight="1" x14ac:dyDescent="0.25">
      <c r="L146" s="57">
        <f>--ISNUMBER(IFERROR(SEARCH($E$6,General!$I$140,1),""))</f>
        <v>1</v>
      </c>
      <c r="M146" s="57">
        <f>IF(L146=1,COUNTIF($L$8:L146,1),"")</f>
        <v>139</v>
      </c>
      <c r="N146" s="57" t="str">
        <f>IFERROR(INDEX(Tabla1[NOMBRE COMPLETO],MATCH(ROWS($M$8:M146),$M$8:$M$404,0)),"")</f>
        <v xml:space="preserve">   |  CINTA VELCRO C/PEGAMENTO 1.5 CM | INSUMOS</v>
      </c>
    </row>
    <row r="147" spans="12:14" ht="15" customHeight="1" x14ac:dyDescent="0.25">
      <c r="L147" s="57">
        <f>--ISNUMBER(IFERROR(SEARCH($E$6,General!$I$141,1),""))</f>
        <v>1</v>
      </c>
      <c r="M147" s="57">
        <f>IF(L147=1,COUNTIF($L$8:L147,1),"")</f>
        <v>140</v>
      </c>
      <c r="N147" s="57" t="str">
        <f>IFERROR(INDEX(Tabla1[NOMBRE COMPLETO],MATCH(ROWS($M$8:M147),$M$8:$M$404,0)),"")</f>
        <v xml:space="preserve">   |  PAQUETE CINTILLOS 10 cm | INSUMOS</v>
      </c>
    </row>
    <row r="148" spans="12:14" ht="15" customHeight="1" x14ac:dyDescent="0.25">
      <c r="L148" s="57">
        <f>--ISNUMBER(IFERROR(SEARCH($E$6,General!$I$142,1),""))</f>
        <v>1</v>
      </c>
      <c r="M148" s="57">
        <f>IF(L148=1,COUNTIF($L$8:L148,1),"")</f>
        <v>141</v>
      </c>
      <c r="N148" s="57" t="str">
        <f>IFERROR(INDEX(Tabla1[NOMBRE COMPLETO],MATCH(ROWS($M$8:M148),$M$8:$M$404,0)),"")</f>
        <v xml:space="preserve">   |  PAQUETE CINTILLOS 15 cm | INSUMOS</v>
      </c>
    </row>
    <row r="149" spans="12:14" ht="15" customHeight="1" x14ac:dyDescent="0.25">
      <c r="L149" s="57">
        <f>--ISNUMBER(IFERROR(SEARCH($E$6,General!$I$143,1),""))</f>
        <v>1</v>
      </c>
      <c r="M149" s="57">
        <f>IF(L149=1,COUNTIF($L$8:L149,1),"")</f>
        <v>142</v>
      </c>
      <c r="N149" s="57" t="str">
        <f>IFERROR(INDEX(Tabla1[NOMBRE COMPLETO],MATCH(ROWS($M$8:M149),$M$8:$M$404,0)),"")</f>
        <v xml:space="preserve">   |  PASTA P/SOLDAR MARCA STEREN | INSUMOS</v>
      </c>
    </row>
    <row r="150" spans="12:14" ht="15" customHeight="1" x14ac:dyDescent="0.25">
      <c r="L150" s="57">
        <f>--ISNUMBER(IFERROR(SEARCH($E$6,General!$I$144,1),""))</f>
        <v>1</v>
      </c>
      <c r="M150" s="57">
        <f>IF(L150=1,COUNTIF($L$8:L150,1),"")</f>
        <v>143</v>
      </c>
      <c r="N150" s="57" t="str">
        <f>IFERROR(INDEX(Tabla1[NOMBRE COMPLETO],MATCH(ROWS($M$8:M150),$M$8:$M$404,0)),"")</f>
        <v xml:space="preserve">   |  PEGAMENTO UHU UNIVERSAL | INSUMOS</v>
      </c>
    </row>
    <row r="151" spans="12:14" ht="15" customHeight="1" x14ac:dyDescent="0.25">
      <c r="L151" s="57">
        <f>--ISNUMBER(IFERROR(SEARCH($E$6,General!$I$145,1),""))</f>
        <v>1</v>
      </c>
      <c r="M151" s="57">
        <f>IF(L151=1,COUNTIF($L$8:L151,1),"")</f>
        <v>144</v>
      </c>
      <c r="N151" s="57" t="str">
        <f>IFERROR(INDEX(Tabla1[NOMBRE COMPLETO],MATCH(ROWS($M$8:M151),$M$8:$M$404,0)),"")</f>
        <v xml:space="preserve">   |  REMOVEDOR DE POLVO OFFICE DEPOT (3) | INSUMOS</v>
      </c>
    </row>
    <row r="152" spans="12:14" ht="15" customHeight="1" x14ac:dyDescent="0.25">
      <c r="L152" s="57">
        <f>--ISNUMBER(IFERROR(SEARCH($E$6,General!$I$146,1),""))</f>
        <v>1</v>
      </c>
      <c r="M152" s="57">
        <f>IF(L152=1,COUNTIF($L$8:L152,1),"")</f>
        <v>145</v>
      </c>
      <c r="N152" s="57" t="str">
        <f>IFERROR(INDEX(Tabla1[NOMBRE COMPLETO],MATCH(ROWS($M$8:M152),$M$8:$M$404,0)),"")</f>
        <v xml:space="preserve">   |  SUJETADORES 2.2 CM | INSUMOS</v>
      </c>
    </row>
    <row r="153" spans="12:14" ht="15" customHeight="1" x14ac:dyDescent="0.25">
      <c r="L153" s="57">
        <f>--ISNUMBER(IFERROR(SEARCH($E$6,General!$I$147,1),""))</f>
        <v>1</v>
      </c>
      <c r="M153" s="57">
        <f>IF(L153=1,COUNTIF($L$8:L153,1),"")</f>
        <v>146</v>
      </c>
      <c r="N153" s="57" t="str">
        <f>IFERROR(INDEX(Tabla1[NOMBRE COMPLETO],MATCH(ROWS($M$8:M153),$M$8:$M$404,0)),"")</f>
        <v xml:space="preserve">   |  THREAD LOCKER TL-242 | INSUMOS</v>
      </c>
    </row>
    <row r="154" spans="12:14" ht="15" customHeight="1" x14ac:dyDescent="0.25">
      <c r="L154" s="57">
        <f>--ISNUMBER(IFERROR(SEARCH($E$6,General!$I$148,1),""))</f>
        <v>1</v>
      </c>
      <c r="M154" s="57">
        <f>IF(L154=1,COUNTIF($L$8:L154,1),"")</f>
        <v>147</v>
      </c>
      <c r="N154" s="57" t="str">
        <f>IFERROR(INDEX(Tabla1[NOMBRE COMPLETO],MATCH(ROWS($M$8:M154),$M$8:$M$404,0)),"")</f>
        <v xml:space="preserve">   |  THREAD LOCKER TL-680 | INSUMOS</v>
      </c>
    </row>
    <row r="155" spans="12:14" ht="15" customHeight="1" x14ac:dyDescent="0.25">
      <c r="L155" s="57">
        <f>--ISNUMBER(IFERROR(SEARCH($E$6,General!$I$149,1),""))</f>
        <v>1</v>
      </c>
      <c r="M155" s="57">
        <f>IF(L155=1,COUNTIF($L$8:L155,1),"")</f>
        <v>148</v>
      </c>
      <c r="N155" s="57" t="str">
        <f>IFERROR(INDEX(Tabla1[NOMBRE COMPLETO],MATCH(ROWS($M$8:M155),$M$8:$M$404,0)),"")</f>
        <v xml:space="preserve">   |  TIRAS VELCRO 20X2 cm | INSUMOS</v>
      </c>
    </row>
    <row r="156" spans="12:14" ht="15" customHeight="1" x14ac:dyDescent="0.25">
      <c r="L156" s="57">
        <f>--ISNUMBER(IFERROR(SEARCH($E$6,General!$I$150,1),""))</f>
        <v>1</v>
      </c>
      <c r="M156" s="57">
        <f>IF(L156=1,COUNTIF($L$8:L156,1),"")</f>
        <v>149</v>
      </c>
      <c r="N156" s="57" t="str">
        <f>IFERROR(INDEX(Tabla1[NOMBRE COMPLETO],MATCH(ROWS($M$8:M156),$M$8:$M$404,0)),"")</f>
        <v xml:space="preserve">   |  TIRAS VELCRO INDUSTRIALES 25cmX1pulgada | INSUMOS</v>
      </c>
    </row>
    <row r="157" spans="12:14" ht="15" customHeight="1" x14ac:dyDescent="0.25">
      <c r="L157" s="57">
        <f>--ISNUMBER(IFERROR(SEARCH($E$6,General!$I$151,1),""))</f>
        <v>1</v>
      </c>
      <c r="M157" s="57">
        <f>IF(L157=1,COUNTIF($L$8:L157,1),"")</f>
        <v>150</v>
      </c>
      <c r="N157" s="57" t="str">
        <f>IFERROR(INDEX(Tabla1[NOMBRE COMPLETO],MATCH(ROWS($M$8:M157),$M$8:$M$404,0)),"")</f>
        <v xml:space="preserve">   |  CIENTO DE TORNILLOS DE CRUZ 2 CM.  | INSUMOS</v>
      </c>
    </row>
    <row r="158" spans="12:14" ht="15" customHeight="1" x14ac:dyDescent="0.25">
      <c r="L158" s="57">
        <f>--ISNUMBER(IFERROR(SEARCH($E$6,General!$I$152,1),""))</f>
        <v>1</v>
      </c>
      <c r="M158" s="57">
        <f>IF(L158=1,COUNTIF($L$8:L158,1),"")</f>
        <v>151</v>
      </c>
      <c r="N158" s="57" t="str">
        <f>IFERROR(INDEX(Tabla1[NOMBRE COMPLETO],MATCH(ROWS($M$8:M158),$M$8:$M$404,0)),"")</f>
        <v xml:space="preserve">   |  VELCRO C/PEGAMENTO 2 PULGADAS | INSUMOS</v>
      </c>
    </row>
    <row r="159" spans="12:14" ht="15" customHeight="1" x14ac:dyDescent="0.25">
      <c r="L159" s="57">
        <f>--ISNUMBER(IFERROR(SEARCH($E$6,General!$I$153,1),""))</f>
        <v>1</v>
      </c>
      <c r="M159" s="57">
        <f>IF(L159=1,COUNTIF($L$8:L159,1),"")</f>
        <v>152</v>
      </c>
      <c r="N159" s="57" t="str">
        <f>IFERROR(INDEX(Tabla1[NOMBRE COMPLETO],MATCH(ROWS($M$8:M159),$M$8:$M$404,0)),"")</f>
        <v xml:space="preserve">   |  MICRO SD 4 GB GENERICO CLASE 4 | MEMORIAS</v>
      </c>
    </row>
    <row r="160" spans="12:14" ht="15" customHeight="1" x14ac:dyDescent="0.25">
      <c r="L160" s="57">
        <f>--ISNUMBER(IFERROR(SEARCH($E$6,General!$I$154,1),""))</f>
        <v>1</v>
      </c>
      <c r="M160" s="57">
        <f>IF(L160=1,COUNTIF($L$8:L160,1),"")</f>
        <v>153</v>
      </c>
      <c r="N160" s="57" t="str">
        <f>IFERROR(INDEX(Tabla1[NOMBRE COMPLETO],MATCH(ROWS($M$8:M160),$M$8:$M$404,0)),"")</f>
        <v xml:space="preserve">   |  MICRO SD 8 GB MARCA KINGSTON CLASE 4 | MEMORIAS</v>
      </c>
    </row>
    <row r="161" spans="12:14" ht="15" customHeight="1" x14ac:dyDescent="0.25">
      <c r="L161" s="57">
        <f>--ISNUMBER(IFERROR(SEARCH($E$6,General!$I$155,1),""))</f>
        <v>1</v>
      </c>
      <c r="M161" s="57">
        <f>IF(L161=1,COUNTIF($L$8:L161,1),"")</f>
        <v>154</v>
      </c>
      <c r="N161" s="57" t="str">
        <f>IFERROR(INDEX(Tabla1[NOMBRE COMPLETO],MATCH(ROWS($M$8:M161),$M$8:$M$404,0)),"")</f>
        <v xml:space="preserve">   |  ADAPTADOR MICRO SD A SD MARCA SONY | OTROS</v>
      </c>
    </row>
    <row r="162" spans="12:14" ht="15" customHeight="1" x14ac:dyDescent="0.25">
      <c r="L162" s="57">
        <f>--ISNUMBER(IFERROR(SEARCH($E$6,General!$I$156,1),""))</f>
        <v>1</v>
      </c>
      <c r="M162" s="57">
        <f>IF(L162=1,COUNTIF($L$8:L162,1),"")</f>
        <v>155</v>
      </c>
      <c r="N162" s="57" t="str">
        <f>IFERROR(INDEX(Tabla1[NOMBRE COMPLETO],MATCH(ROWS($M$8:M162),$M$8:$M$404,0)),"")</f>
        <v xml:space="preserve">   |  CALCOMANIAS TAROT | OTROS</v>
      </c>
    </row>
    <row r="163" spans="12:14" ht="15" customHeight="1" x14ac:dyDescent="0.25">
      <c r="L163" s="57">
        <f>--ISNUMBER(IFERROR(SEARCH($E$6,General!$I$157,1),""))</f>
        <v>1</v>
      </c>
      <c r="M163" s="57">
        <f>IF(L163=1,COUNTIF($L$8:L163,1),"")</f>
        <v>156</v>
      </c>
      <c r="N163" s="57" t="str">
        <f>IFERROR(INDEX(Tabla1[NOMBRE COMPLETO],MATCH(ROWS($M$8:M163),$M$8:$M$404,0)),"")</f>
        <v xml:space="preserve">   |  CINTA CON LEYENDA "FRAGIL" | OTROS</v>
      </c>
    </row>
    <row r="164" spans="12:14" ht="15" customHeight="1" x14ac:dyDescent="0.25">
      <c r="L164" s="57">
        <f>--ISNUMBER(IFERROR(SEARCH($E$6,General!$I$158,1),""))</f>
        <v>1</v>
      </c>
      <c r="M164" s="57">
        <f>IF(L164=1,COUNTIF($L$8:L164,1),"")</f>
        <v>157</v>
      </c>
      <c r="N164" s="57" t="str">
        <f>IFERROR(INDEX(Tabla1[NOMBRE COMPLETO],MATCH(ROWS($M$8:M164),$M$8:$M$404,0)),"")</f>
        <v xml:space="preserve">   |  CINTA CON LEYENDA "PROHIBIDO" | OTROS</v>
      </c>
    </row>
    <row r="165" spans="12:14" ht="15" customHeight="1" x14ac:dyDescent="0.25">
      <c r="L165" s="57">
        <f>--ISNUMBER(IFERROR(SEARCH($E$6,General!$I$159,1),""))</f>
        <v>1</v>
      </c>
      <c r="M165" s="57">
        <f>IF(L165=1,COUNTIF($L$8:L165,1),"")</f>
        <v>158</v>
      </c>
      <c r="N165" s="57" t="str">
        <f>IFERROR(INDEX(Tabla1[NOMBRE COMPLETO],MATCH(ROWS($M$8:M165),$M$8:$M$404,0)),"")</f>
        <v xml:space="preserve">   |  CINTA DE AISLAR | OTROS</v>
      </c>
    </row>
    <row r="166" spans="12:14" ht="15" customHeight="1" x14ac:dyDescent="0.25">
      <c r="L166" s="57">
        <f>--ISNUMBER(IFERROR(SEARCH($E$6,General!$I$160,1),""))</f>
        <v>1</v>
      </c>
      <c r="M166" s="57">
        <f>IF(L166=1,COUNTIF($L$8:L166,1),"")</f>
        <v>159</v>
      </c>
      <c r="N166" s="57" t="str">
        <f>IFERROR(INDEX(Tabla1[NOMBRE COMPLETO],MATCH(ROWS($M$8:M166),$M$8:$M$404,0)),"")</f>
        <v xml:space="preserve">   |  FOCO AHORRADOW 13 W  | OTROS</v>
      </c>
    </row>
    <row r="167" spans="12:14" ht="15" customHeight="1" x14ac:dyDescent="0.25">
      <c r="L167" s="57">
        <f>--ISNUMBER(IFERROR(SEARCH($E$6,General!$I$161,1),""))</f>
        <v>1</v>
      </c>
      <c r="M167" s="57">
        <f>IF(L167=1,COUNTIF($L$8:L167,1),"")</f>
        <v>160</v>
      </c>
      <c r="N167" s="57" t="str">
        <f>IFERROR(INDEX(Tabla1[NOMBRE COMPLETO],MATCH(ROWS($M$8:M167),$M$8:$M$404,0)),"")</f>
        <v xml:space="preserve">   |  KIT PRIMEROS AUXILIOS  | OTROS</v>
      </c>
    </row>
    <row r="168" spans="12:14" ht="15" customHeight="1" x14ac:dyDescent="0.25">
      <c r="L168" s="57">
        <f>--ISNUMBER(IFERROR(SEARCH($E$6,General!$I$162,1),""))</f>
        <v>1</v>
      </c>
      <c r="M168" s="57">
        <f>IF(L168=1,COUNTIF($L$8:L168,1),"")</f>
        <v>161</v>
      </c>
      <c r="N168" s="57" t="str">
        <f>IFERROR(INDEX(Tabla1[NOMBRE COMPLETO],MATCH(ROWS($M$8:M168),$M$8:$M$404,0)),"")</f>
        <v xml:space="preserve">   |  PUNTOS DE CONTROL LONA | OTROS</v>
      </c>
    </row>
    <row r="169" spans="12:14" ht="15" customHeight="1" x14ac:dyDescent="0.25">
      <c r="L169" s="57">
        <f>--ISNUMBER(IFERROR(SEARCH($E$6,General!$I$163,1),""))</f>
        <v>1</v>
      </c>
      <c r="M169" s="57">
        <f>IF(L169=1,COUNTIF($L$8:L169,1),"")</f>
        <v>162</v>
      </c>
      <c r="N169" s="57" t="str">
        <f>IFERROR(INDEX(Tabla1[NOMBRE COMPLETO],MATCH(ROWS($M$8:M169),$M$8:$M$404,0)),"")</f>
        <v xml:space="preserve">   |  PUNTOS DE CONTROL PLASTICO  | OTROS</v>
      </c>
    </row>
    <row r="170" spans="12:14" ht="15" customHeight="1" x14ac:dyDescent="0.25">
      <c r="L170" s="57">
        <f>--ISNUMBER(IFERROR(SEARCH($E$6,General!$I$164,1),""))</f>
        <v>1</v>
      </c>
      <c r="M170" s="57">
        <f>IF(L170=1,COUNTIF($L$8:L170,1),"")</f>
        <v>163</v>
      </c>
      <c r="N170" s="57" t="str">
        <f>IFERROR(INDEX(Tabla1[NOMBRE COMPLETO],MATCH(ROWS($M$8:M170),$M$8:$M$404,0)),"")</f>
        <v xml:space="preserve">   |  CASCOS TAROT 680 | REFACCIONES</v>
      </c>
    </row>
    <row r="171" spans="12:14" ht="15" customHeight="1" x14ac:dyDescent="0.25">
      <c r="L171" s="57">
        <f>--ISNUMBER(IFERROR(SEARCH($E$6,General!$I$165,1),""))</f>
        <v>1</v>
      </c>
      <c r="M171" s="57">
        <f>IF(L171=1,COUNTIF($L$8:L171,1),"")</f>
        <v>164</v>
      </c>
      <c r="N171" s="57" t="str">
        <f>IFERROR(INDEX(Tabla1[NOMBRE COMPLETO],MATCH(ROWS($M$8:M171),$M$8:$M$404,0)),"")</f>
        <v xml:space="preserve">   |  GOMAS SUPRESORAS DE CHOQUE | REFACCIONES</v>
      </c>
    </row>
    <row r="172" spans="12:14" ht="15" customHeight="1" x14ac:dyDescent="0.25">
      <c r="L172" s="57">
        <f>--ISNUMBER(IFERROR(SEARCH($E$6,General!$I$166,1),""))</f>
        <v>1</v>
      </c>
      <c r="M172" s="57">
        <f>IF(L172=1,COUNTIF($L$8:L172,1),"")</f>
        <v>165</v>
      </c>
      <c r="N172" s="57" t="str">
        <f>IFERROR(INDEX(Tabla1[NOMBRE COMPLETO],MATCH(ROWS($M$8:M172),$M$8:$M$404,0)),"")</f>
        <v xml:space="preserve">   |  GOMAS PARA PATAS 10 MM. TAROT | REFACCIONES</v>
      </c>
    </row>
    <row r="173" spans="12:14" ht="15" customHeight="1" x14ac:dyDescent="0.25">
      <c r="L173" s="57">
        <f>--ISNUMBER(IFERROR(SEARCH($E$6,General!$I$167,1),""))</f>
        <v>1</v>
      </c>
      <c r="M173" s="57">
        <f>IF(L173=1,COUNTIF($L$8:L173,1),"")</f>
        <v>166</v>
      </c>
      <c r="N173" s="57" t="str">
        <f>IFERROR(INDEX(Tabla1[NOMBRE COMPLETO],MATCH(ROWS($M$8:M173),$M$8:$M$404,0)),"")</f>
        <v xml:space="preserve">   |  MASTIL GPS COLOR ROSA | REFACCIONES</v>
      </c>
    </row>
    <row r="174" spans="12:14" ht="15" customHeight="1" x14ac:dyDescent="0.25">
      <c r="L174" s="57">
        <f>--ISNUMBER(IFERROR(SEARCH($E$6,General!$I$168,1),""))</f>
        <v>1</v>
      </c>
      <c r="M174" s="57">
        <f>IF(L174=1,COUNTIF($L$8:L174,1),"")</f>
        <v>167</v>
      </c>
      <c r="N174" s="57" t="str">
        <f>IFERROR(INDEX(Tabla1[NOMBRE COMPLETO],MATCH(ROWS($M$8:M174),$M$8:$M$404,0)),"")</f>
        <v xml:space="preserve">   |  MONTURA ARO DE METAL C/GOMA 10 MM. | REFACCIONES</v>
      </c>
    </row>
    <row r="175" spans="12:14" ht="15" customHeight="1" x14ac:dyDescent="0.25">
      <c r="L175" s="57">
        <f>--ISNUMBER(IFERROR(SEARCH($E$6,General!$I$169,1),""))</f>
        <v>1</v>
      </c>
      <c r="M175" s="57">
        <f>IF(L175=1,COUNTIF($L$8:L175,1),"")</f>
        <v>168</v>
      </c>
      <c r="N175" s="57" t="str">
        <f>IFERROR(INDEX(Tabla1[NOMBRE COMPLETO],MATCH(ROWS($M$8:M175),$M$8:$M$404,0)),"")</f>
        <v xml:space="preserve">   |  MONTURA DE BRAZO TAROT 680 ROJO 16 MM.  | REFACCIONES</v>
      </c>
    </row>
    <row r="176" spans="12:14" ht="15" customHeight="1" x14ac:dyDescent="0.25">
      <c r="L176" s="57">
        <f>--ISNUMBER(IFERROR(SEARCH($E$6,General!$I$170,1),""))</f>
        <v>1</v>
      </c>
      <c r="M176" s="57">
        <f>IF(L176=1,COUNTIF($L$8:L176,1),"")</f>
        <v>169</v>
      </c>
      <c r="N176" s="57" t="str">
        <f>IFERROR(INDEX(Tabla1[NOMBRE COMPLETO],MATCH(ROWS($M$8:M176),$M$8:$M$404,0)),"")</f>
        <v xml:space="preserve">   |  MONTURA DE MOTOR /ESC TAROT 680 NEGRO | REFACCIONES</v>
      </c>
    </row>
    <row r="177" spans="12:14" ht="15" customHeight="1" x14ac:dyDescent="0.25">
      <c r="L177" s="57">
        <f>--ISNUMBER(IFERROR(SEARCH($E$6,General!$I$171,1),""))</f>
        <v>1</v>
      </c>
      <c r="M177" s="57">
        <f>IF(L177=1,COUNTIF($L$8:L177,1),"")</f>
        <v>170</v>
      </c>
      <c r="N177" s="57" t="str">
        <f>IFERROR(INDEX(Tabla1[NOMBRE COMPLETO],MATCH(ROWS($M$8:M177),$M$8:$M$404,0)),"")</f>
        <v xml:space="preserve">   |  MONTURA DE MOTOR /ESC TAROT 680 ROJO | REFACCIONES</v>
      </c>
    </row>
    <row r="178" spans="12:14" ht="15" customHeight="1" x14ac:dyDescent="0.25">
      <c r="L178" s="57">
        <f>--ISNUMBER(IFERROR(SEARCH($E$6,General!$I$172,1),""))</f>
        <v>1</v>
      </c>
      <c r="M178" s="57">
        <f>IF(L178=1,COUNTIF($L$8:L178,1),"")</f>
        <v>171</v>
      </c>
      <c r="N178" s="57" t="str">
        <f>IFERROR(INDEX(Tabla1[NOMBRE COMPLETO],MATCH(ROWS($M$8:M178),$M$8:$M$404,0)),"")</f>
        <v xml:space="preserve">   |  MONTURA MOVIL PARA PATAS | REFACCIONES</v>
      </c>
    </row>
    <row r="179" spans="12:14" ht="15" customHeight="1" x14ac:dyDescent="0.25">
      <c r="L179" s="57">
        <f>--ISNUMBER(IFERROR(SEARCH($E$6,General!$I$173,1),""))</f>
        <v>1</v>
      </c>
      <c r="M179" s="57">
        <f>IF(L179=1,COUNTIF($L$8:L179,1),"")</f>
        <v>172</v>
      </c>
      <c r="N179" s="57" t="str">
        <f>IFERROR(INDEX(Tabla1[NOMBRE COMPLETO],MATCH(ROWS($M$8:M179),$M$8:$M$404,0)),"")</f>
        <v xml:space="preserve">   |  PARES DE HELICES 13''X5° FIBRA DE CARBONO | REFACCIONES</v>
      </c>
    </row>
    <row r="180" spans="12:14" ht="15" customHeight="1" x14ac:dyDescent="0.25">
      <c r="L180" s="57">
        <f>--ISNUMBER(IFERROR(SEARCH($E$6,General!$I$174,1),""))</f>
        <v>1</v>
      </c>
      <c r="M180" s="57">
        <f>IF(L180=1,COUNTIF($L$8:L180,1),"")</f>
        <v>173</v>
      </c>
      <c r="N180" s="57" t="str">
        <f>IFERROR(INDEX(Tabla1[NOMBRE COMPLETO],MATCH(ROWS($M$8:M180),$M$8:$M$404,0)),"")</f>
        <v xml:space="preserve">   |  PLATAFORMA DE ANTICHOQUE PARA CONTROLADOR DE VUELO | REFACCIONES</v>
      </c>
    </row>
    <row r="181" spans="12:14" ht="15" customHeight="1" x14ac:dyDescent="0.25">
      <c r="L181" s="57">
        <f>--ISNUMBER(IFERROR(SEARCH($E$6,General!$I$175,1),""))</f>
        <v>1</v>
      </c>
      <c r="M181" s="57">
        <f>IF(L181=1,COUNTIF($L$8:L181,1),"")</f>
        <v>174</v>
      </c>
      <c r="N181" s="57" t="str">
        <f>IFERROR(INDEX(Tabla1[NOMBRE COMPLETO],MATCH(ROWS($M$8:M181),$M$8:$M$404,0)),"")</f>
        <v xml:space="preserve">   |  PORTA ANTENA C/4 TORNILLOS | REFACCIONES</v>
      </c>
    </row>
    <row r="182" spans="12:14" ht="15" customHeight="1" x14ac:dyDescent="0.25">
      <c r="L182" s="57">
        <f>--ISNUMBER(IFERROR(SEARCH($E$6,General!$I$176,1),""))</f>
        <v>1</v>
      </c>
      <c r="M182" s="57">
        <f>IF(L182=1,COUNTIF($L$8:L182,1),"")</f>
        <v>175</v>
      </c>
      <c r="N182" s="57" t="str">
        <f>IFERROR(INDEX(Tabla1[NOMBRE COMPLETO],MATCH(ROWS($M$8:M182),$M$8:$M$404,0)),"")</f>
        <v xml:space="preserve">   |  SOPORTE DE ALUMINIO TAROT 680 30 MM. X M2 | REFACCIONES</v>
      </c>
    </row>
    <row r="183" spans="12:14" ht="15" customHeight="1" x14ac:dyDescent="0.25">
      <c r="L183" s="57">
        <f>--ISNUMBER(IFERROR(SEARCH($E$6,General!$I$177,1),""))</f>
        <v>1</v>
      </c>
      <c r="M183" s="57">
        <f>IF(L183=1,COUNTIF($L$8:L183,1),"")</f>
        <v>176</v>
      </c>
      <c r="N183" s="57" t="str">
        <f>IFERROR(INDEX(Tabla1[NOMBRE COMPLETO],MATCH(ROWS($M$8:M183),$M$8:$M$404,0)),"")</f>
        <v xml:space="preserve">   |  SOPORTE DE BRAZO MARCA TAROT 680 NEGRO 16 MM.  | REFACCIONES</v>
      </c>
    </row>
    <row r="184" spans="12:14" ht="15" customHeight="1" x14ac:dyDescent="0.25">
      <c r="L184" s="57">
        <f>--ISNUMBER(IFERROR(SEARCH($E$6,General!$I$178,1),""))</f>
        <v>1</v>
      </c>
      <c r="M184" s="57">
        <f>IF(L184=1,COUNTIF($L$8:L184,1),"")</f>
        <v>177</v>
      </c>
      <c r="N184" s="57" t="str">
        <f>IFERROR(INDEX(Tabla1[NOMBRE COMPLETO],MATCH(ROWS($M$8:M184),$M$8:$M$404,0)),"")</f>
        <v xml:space="preserve">   |  SOPORTE DE BRAZO MARCA TAROT 680 ROJO 16 MM.  | REFACCIONES</v>
      </c>
    </row>
    <row r="185" spans="12:14" ht="15" customHeight="1" x14ac:dyDescent="0.25">
      <c r="L185" s="57">
        <f>--ISNUMBER(IFERROR(SEARCH($E$6,General!$I$179,1),""))</f>
        <v>1</v>
      </c>
      <c r="M185" s="57">
        <f>IF(L185=1,COUNTIF($L$8:L185,1),"")</f>
        <v>178</v>
      </c>
      <c r="N185" s="57" t="str">
        <f>IFERROR(INDEX(Tabla1[NOMBRE COMPLETO],MATCH(ROWS($M$8:M185),$M$8:$M$404,0)),"")</f>
        <v xml:space="preserve">   |  SOPORTE Y MONTURA DE BRAZO MARCA TAROT 680 NEGRO | REFACCIONES</v>
      </c>
    </row>
    <row r="186" spans="12:14" ht="15" customHeight="1" x14ac:dyDescent="0.25">
      <c r="L186" s="57">
        <f>--ISNUMBER(IFERROR(SEARCH($E$6,General!$I$180,1),""))</f>
        <v>1</v>
      </c>
      <c r="M186" s="57">
        <f>IF(L186=1,COUNTIF($L$8:L186,1),"")</f>
        <v>179</v>
      </c>
      <c r="N186" s="57" t="str">
        <f>IFERROR(INDEX(Tabla1[NOMBRE COMPLETO],MATCH(ROWS($M$8:M186),$M$8:$M$404,0)),"")</f>
        <v>EGEAR-01  |  TREN RETRACTIL ELECTRICO  | REFACCIONES</v>
      </c>
    </row>
    <row r="187" spans="12:14" ht="15" customHeight="1" x14ac:dyDescent="0.25">
      <c r="L187" s="57">
        <f>--ISNUMBER(IFERROR(SEARCH($E$6,General!$I$181,1),""))</f>
        <v>1</v>
      </c>
      <c r="M187" s="57">
        <f>IF(L187=1,COUNTIF($L$8:L187,1),"")</f>
        <v>180</v>
      </c>
      <c r="N187" s="57" t="str">
        <f>IFERROR(INDEX(Tabla1[NOMBRE COMPLETO],MATCH(ROWS($M$8:M187),$M$8:$M$404,0)),"")</f>
        <v>EGEAR-02  |  TREN RETRACTIL ELECTRICO  | REFACCIONES</v>
      </c>
    </row>
    <row r="188" spans="12:14" ht="15" customHeight="1" x14ac:dyDescent="0.25">
      <c r="L188" s="57">
        <f>--ISNUMBER(IFERROR(SEARCH($E$6,General!$I$182,1),""))</f>
        <v>1</v>
      </c>
      <c r="M188" s="57">
        <f>IF(L188=1,COUNTIF($L$8:L188,1),"")</f>
        <v>181</v>
      </c>
      <c r="N188" s="57" t="str">
        <f>IFERROR(INDEX(Tabla1[NOMBRE COMPLETO],MATCH(ROWS($M$8:M188),$M$8:$M$404,0)),"")</f>
        <v xml:space="preserve">   |  TUBOS DE CARBONO 10mm. 75 cm. (3) | REFACCIONES</v>
      </c>
    </row>
    <row r="189" spans="12:14" ht="15" customHeight="1" x14ac:dyDescent="0.25">
      <c r="L189" s="57">
        <f>--ISNUMBER(IFERROR(SEARCH($E$6,General!$I$183,1),""))</f>
        <v>1</v>
      </c>
      <c r="M189" s="57">
        <f>IF(L189=1,COUNTIF($L$8:L189,1),"")</f>
        <v>182</v>
      </c>
      <c r="N189" s="57" t="str">
        <f>IFERROR(INDEX(Tabla1[NOMBRE COMPLETO],MATCH(ROWS($M$8:M189),$M$8:$M$404,0)),"")</f>
        <v>GSC-DD-Y-0041  |  TABLET (DELTA Y) DELL LATITUDE 12 RUGGED 7202 | COMPUTADORA</v>
      </c>
    </row>
    <row r="190" spans="12:14" ht="15" customHeight="1" x14ac:dyDescent="0.25">
      <c r="L190" s="57">
        <f>--ISNUMBER(IFERROR(SEARCH($E$6,General!$I$184,1),""))</f>
        <v>1</v>
      </c>
      <c r="M190" s="57">
        <f>IF(L190=1,COUNTIF($L$8:L190,1),"")</f>
        <v>183</v>
      </c>
      <c r="N190" s="57" t="str">
        <f>IFERROR(INDEX(Tabla1[NOMBRE COMPLETO],MATCH(ROWS($M$8:M190),$M$8:$M$404,0)),"")</f>
        <v xml:space="preserve">   |  IPAD MINI 4 16 GB | COMPUTADORA</v>
      </c>
    </row>
    <row r="191" spans="12:14" ht="15" customHeight="1" x14ac:dyDescent="0.25">
      <c r="L191" s="57">
        <f>--ISNUMBER(IFERROR(SEARCH($E$6,General!$I$185,1),""))</f>
        <v>1</v>
      </c>
      <c r="M191" s="57">
        <f>IF(L191=1,COUNTIF($L$8:L191,1),"")</f>
        <v>184</v>
      </c>
      <c r="N191" s="57" t="str">
        <f>IFERROR(INDEX(Tabla1[NOMBRE COMPLETO],MATCH(ROWS($M$8:M191),$M$8:$M$404,0)),"")</f>
        <v>MEMORIA-01  |  MICRO SD 4 GB KINGSTON | MEMORIAS</v>
      </c>
    </row>
    <row r="192" spans="12:14" ht="15" customHeight="1" x14ac:dyDescent="0.25">
      <c r="L192" s="57">
        <f>--ISNUMBER(IFERROR(SEARCH($E$6,General!$I$186,1),""))</f>
        <v>1</v>
      </c>
      <c r="M192" s="57">
        <f>IF(L192=1,COUNTIF($L$8:L192,1),"")</f>
        <v>185</v>
      </c>
      <c r="N192" s="57" t="str">
        <f>IFERROR(INDEX(Tabla1[NOMBRE COMPLETO],MATCH(ROWS($M$8:M192),$M$8:$M$404,0)),"")</f>
        <v xml:space="preserve">  |  MEMORIA 2 | MEMORIAS</v>
      </c>
    </row>
    <row r="193" spans="12:14" ht="15" customHeight="1" x14ac:dyDescent="0.25">
      <c r="L193" s="57">
        <f>--ISNUMBER(IFERROR(SEARCH($E$6,General!$I$187,1),""))</f>
        <v>1</v>
      </c>
      <c r="M193" s="57">
        <f>IF(L193=1,COUNTIF($L$8:L193,1),"")</f>
        <v>186</v>
      </c>
      <c r="N193" s="57" t="str">
        <f>IFERROR(INDEX(Tabla1[NOMBRE COMPLETO],MATCH(ROWS($M$8:M193),$M$8:$M$404,0)),"")</f>
        <v>pruebafinal  |  pruebafinal | pruebafinal</v>
      </c>
    </row>
    <row r="194" spans="12:14" ht="15" customHeight="1" x14ac:dyDescent="0.25">
      <c r="L194" s="57">
        <f>--ISNUMBER(IFERROR(SEARCH($E$6,General!$I$188,1),""))</f>
        <v>1</v>
      </c>
      <c r="M194" s="57">
        <f>IF(L194=1,COUNTIF($L$8:L194,1),"")</f>
        <v>187</v>
      </c>
      <c r="N194" s="57" t="str">
        <f>IFERROR(INDEX(Tabla1[NOMBRE COMPLETO],MATCH(ROWS($M$8:M194),$M$8:$M$404,0)),"")</f>
        <v>prueba1  |  prueba2 | prueba2</v>
      </c>
    </row>
    <row r="195" spans="12:14" ht="15" customHeight="1" x14ac:dyDescent="0.25">
      <c r="L195" s="57">
        <f>--ISNUMBER(IFERROR(SEARCH($E$6,General!$I$189,1),""))</f>
        <v>1</v>
      </c>
      <c r="M195" s="57">
        <f>IF(L195=1,COUNTIF($L$8:L195,1),"")</f>
        <v>188</v>
      </c>
      <c r="N195" s="57" t="str">
        <f>IFERROR(INDEX(Tabla1[NOMBRE COMPLETO],MATCH(ROWS($M$8:M195),$M$8:$M$404,0)),"")</f>
        <v xml:space="preserve">  |   | </v>
      </c>
    </row>
    <row r="196" spans="12:14" ht="15" customHeight="1" x14ac:dyDescent="0.25">
      <c r="L196" s="57">
        <f>--ISNUMBER(IFERROR(SEARCH($E$6,General!$I$191,1),""))</f>
        <v>0</v>
      </c>
      <c r="M196" s="57" t="str">
        <f>IF(L196=1,COUNTIF($L$8:L196,1),"")</f>
        <v/>
      </c>
      <c r="N196" s="57" t="str">
        <f>IFERROR(INDEX(Tabla1[NOMBRE COMPLETO],MATCH(ROWS($M$8:M196),$M$8:$M$404,0)),"")</f>
        <v/>
      </c>
    </row>
    <row r="197" spans="12:14" ht="15" customHeight="1" x14ac:dyDescent="0.25">
      <c r="L197" s="57">
        <f>--ISNUMBER(IFERROR(SEARCH($E$6,General!$I$192,1),""))</f>
        <v>0</v>
      </c>
      <c r="M197" s="57" t="str">
        <f>IF(L197=1,COUNTIF($L$8:L197,1),"")</f>
        <v/>
      </c>
      <c r="N197" s="57" t="str">
        <f>IFERROR(INDEX(Tabla1[NOMBRE COMPLETO],MATCH(ROWS($M$8:M197),$M$8:$M$404,0)),"")</f>
        <v/>
      </c>
    </row>
    <row r="198" spans="12:14" ht="15" customHeight="1" x14ac:dyDescent="0.25">
      <c r="L198" s="57">
        <f>--ISNUMBER(IFERROR(SEARCH($E$6,General!$I$193,1),""))</f>
        <v>0</v>
      </c>
      <c r="M198" s="57" t="str">
        <f>IF(L198=1,COUNTIF($L$8:L198,1),"")</f>
        <v/>
      </c>
      <c r="N198" s="57" t="str">
        <f>IFERROR(INDEX(Tabla1[NOMBRE COMPLETO],MATCH(ROWS($M$8:M198),$M$8:$M$404,0)),"")</f>
        <v/>
      </c>
    </row>
    <row r="199" spans="12:14" ht="15" customHeight="1" x14ac:dyDescent="0.25">
      <c r="L199" s="57">
        <f>--ISNUMBER(IFERROR(SEARCH($E$6,General!$I$194,1),""))</f>
        <v>0</v>
      </c>
      <c r="M199" s="57" t="str">
        <f>IF(L199=1,COUNTIF($L$8:L199,1),"")</f>
        <v/>
      </c>
      <c r="N199" s="57" t="str">
        <f>IFERROR(INDEX(Tabla1[NOMBRE COMPLETO],MATCH(ROWS($M$8:M199),$M$8:$M$404,0)),"")</f>
        <v/>
      </c>
    </row>
    <row r="200" spans="12:14" ht="15" customHeight="1" x14ac:dyDescent="0.25">
      <c r="L200" s="57">
        <f>--ISNUMBER(IFERROR(SEARCH($E$6,General!$I$195,1),""))</f>
        <v>0</v>
      </c>
      <c r="M200" s="57" t="str">
        <f>IF(L200=1,COUNTIF($L$8:L200,1),"")</f>
        <v/>
      </c>
      <c r="N200" s="57" t="str">
        <f>IFERROR(INDEX(Tabla1[NOMBRE COMPLETO],MATCH(ROWS($M$8:M200),$M$8:$M$404,0)),"")</f>
        <v/>
      </c>
    </row>
    <row r="201" spans="12:14" ht="15" customHeight="1" x14ac:dyDescent="0.25">
      <c r="L201" s="57">
        <f>--ISNUMBER(IFERROR(SEARCH($E$6,General!$I$196,1),""))</f>
        <v>0</v>
      </c>
      <c r="M201" s="57" t="str">
        <f>IF(L201=1,COUNTIF($L$8:L201,1),"")</f>
        <v/>
      </c>
      <c r="N201" s="57" t="str">
        <f>IFERROR(INDEX(Tabla1[NOMBRE COMPLETO],MATCH(ROWS($M$8:M201),$M$8:$M$404,0)),"")</f>
        <v/>
      </c>
    </row>
    <row r="202" spans="12:14" ht="15" customHeight="1" x14ac:dyDescent="0.25">
      <c r="L202" s="57">
        <f>--ISNUMBER(IFERROR(SEARCH($E$6,General!$I$197,1),""))</f>
        <v>0</v>
      </c>
      <c r="M202" s="57" t="str">
        <f>IF(L202=1,COUNTIF($L$8:L202,1),"")</f>
        <v/>
      </c>
      <c r="N202" s="57" t="str">
        <f>IFERROR(INDEX(Tabla1[NOMBRE COMPLETO],MATCH(ROWS($M$8:M202),$M$8:$M$404,0)),"")</f>
        <v/>
      </c>
    </row>
    <row r="203" spans="12:14" ht="15" customHeight="1" x14ac:dyDescent="0.25">
      <c r="L203" s="57">
        <f>--ISNUMBER(IFERROR(SEARCH($E$6,General!$I$198,1),""))</f>
        <v>0</v>
      </c>
      <c r="M203" s="57" t="str">
        <f>IF(L203=1,COUNTIF($L$8:L203,1),"")</f>
        <v/>
      </c>
      <c r="N203" s="57" t="str">
        <f>IFERROR(INDEX(Tabla1[NOMBRE COMPLETO],MATCH(ROWS($M$8:M203),$M$8:$M$404,0)),"")</f>
        <v/>
      </c>
    </row>
    <row r="204" spans="12:14" ht="15" customHeight="1" x14ac:dyDescent="0.25">
      <c r="L204" s="57">
        <f>--ISNUMBER(IFERROR(SEARCH($E$6,General!$I$199,1),""))</f>
        <v>0</v>
      </c>
      <c r="M204" s="57" t="str">
        <f>IF(L204=1,COUNTIF($L$8:L204,1),"")</f>
        <v/>
      </c>
      <c r="N204" s="57" t="str">
        <f>IFERROR(INDEX(Tabla1[NOMBRE COMPLETO],MATCH(ROWS($M$8:M204),$M$8:$M$404,0)),"")</f>
        <v/>
      </c>
    </row>
    <row r="205" spans="12:14" ht="15" customHeight="1" x14ac:dyDescent="0.25">
      <c r="L205" s="57">
        <f>--ISNUMBER(IFERROR(SEARCH($E$6,General!$I$200,1),""))</f>
        <v>0</v>
      </c>
      <c r="M205" s="57" t="str">
        <f>IF(L205=1,COUNTIF($L$8:L205,1),"")</f>
        <v/>
      </c>
      <c r="N205" s="57" t="str">
        <f>IFERROR(INDEX(Tabla1[NOMBRE COMPLETO],MATCH(ROWS($M$8:M205),$M$8:$M$404,0)),"")</f>
        <v/>
      </c>
    </row>
    <row r="206" spans="12:14" ht="15" customHeight="1" x14ac:dyDescent="0.25">
      <c r="L206" s="57">
        <f>--ISNUMBER(IFERROR(SEARCH($E$6,General!$I$201,1),""))</f>
        <v>0</v>
      </c>
      <c r="M206" s="57" t="str">
        <f>IF(L206=1,COUNTIF($L$8:L206,1),"")</f>
        <v/>
      </c>
      <c r="N206" s="57" t="str">
        <f>IFERROR(INDEX(Tabla1[NOMBRE COMPLETO],MATCH(ROWS($M$8:M206),$M$8:$M$404,0)),"")</f>
        <v/>
      </c>
    </row>
    <row r="207" spans="12:14" ht="15" customHeight="1" x14ac:dyDescent="0.25">
      <c r="L207" s="57">
        <f>--ISNUMBER(IFERROR(SEARCH($E$6,General!$I$101,1),""))</f>
        <v>1</v>
      </c>
      <c r="M207" s="57">
        <f>IF(L207=1,COUNTIF($L$8:L207,1),"")</f>
        <v>189</v>
      </c>
      <c r="N207" s="57" t="str">
        <f>IFERROR(INDEX(Tabla1[NOMBRE COMPLETO],MATCH(ROWS($M$8:M207),$M$8:$M$404,0)),"")</f>
        <v/>
      </c>
    </row>
    <row r="208" spans="12:14" ht="15" customHeight="1" x14ac:dyDescent="0.25">
      <c r="L208" s="57">
        <f>--ISNUMBER(IFERROR(SEARCH($E$6,General!$I$2,1),""))</f>
        <v>1</v>
      </c>
      <c r="M208" s="57">
        <f>IF(L208=1,COUNTIF($L$8:L208,1),"")</f>
        <v>190</v>
      </c>
      <c r="N208" s="57" t="str">
        <f>IFERROR(INDEX(Tabla1[NOMBRE COMPLETO],MATCH(ROWS($M$8:M208),$M$8:$M$404,0)),"")</f>
        <v/>
      </c>
    </row>
    <row r="209" spans="12:14" ht="15" customHeight="1" x14ac:dyDescent="0.25">
      <c r="L209" s="57">
        <f>--ISNUMBER(IFERROR(SEARCH($E$6,General!$I$3,1),""))</f>
        <v>1</v>
      </c>
      <c r="M209" s="57">
        <f>IF(L209=1,COUNTIF($L$8:L209,1),"")</f>
        <v>191</v>
      </c>
      <c r="N209" s="57" t="str">
        <f>IFERROR(INDEX(Tabla1[NOMBRE COMPLETO],MATCH(ROWS($M$8:M209),$M$8:$M$404,0)),"")</f>
        <v/>
      </c>
    </row>
    <row r="210" spans="12:14" ht="15" customHeight="1" x14ac:dyDescent="0.25">
      <c r="L210" s="57">
        <f>--ISNUMBER(IFERROR(SEARCH($E$6,General!$I$4,1),""))</f>
        <v>1</v>
      </c>
      <c r="M210" s="57">
        <f>IF(L210=1,COUNTIF($L$8:L210,1),"")</f>
        <v>192</v>
      </c>
      <c r="N210" s="57" t="str">
        <f>IFERROR(INDEX(Tabla1[NOMBRE COMPLETO],MATCH(ROWS($M$8:M210),$M$8:$M$404,0)),"")</f>
        <v/>
      </c>
    </row>
    <row r="211" spans="12:14" ht="15" customHeight="1" x14ac:dyDescent="0.25">
      <c r="L211" s="57">
        <f>--ISNUMBER(IFERROR(SEARCH($E$6,General!$I$5,1),""))</f>
        <v>1</v>
      </c>
      <c r="M211" s="57">
        <f>IF(L211=1,COUNTIF($L$8:L211,1),"")</f>
        <v>193</v>
      </c>
      <c r="N211" s="57" t="str">
        <f>IFERROR(INDEX(Tabla1[NOMBRE COMPLETO],MATCH(ROWS($M$8:M211),$M$8:$M$404,0)),"")</f>
        <v/>
      </c>
    </row>
    <row r="212" spans="12:14" ht="15" customHeight="1" x14ac:dyDescent="0.25">
      <c r="L212" s="57">
        <f>--ISNUMBER(IFERROR(SEARCH($E$6,General!$I$6,1),""))</f>
        <v>1</v>
      </c>
      <c r="M212" s="57">
        <f>IF(L212=1,COUNTIF($L$8:L212,1),"")</f>
        <v>194</v>
      </c>
      <c r="N212" s="57" t="str">
        <f>IFERROR(INDEX(Tabla1[NOMBRE COMPLETO],MATCH(ROWS($M$8:M212),$M$8:$M$404,0)),"")</f>
        <v/>
      </c>
    </row>
    <row r="213" spans="12:14" ht="15" customHeight="1" x14ac:dyDescent="0.25">
      <c r="L213" s="57">
        <f>--ISNUMBER(IFERROR(SEARCH($E$6,General!$I$7,1),""))</f>
        <v>1</v>
      </c>
      <c r="M213" s="57">
        <f>IF(L213=1,COUNTIF($L$8:L213,1),"")</f>
        <v>195</v>
      </c>
      <c r="N213" s="57" t="str">
        <f>IFERROR(INDEX(Tabla1[NOMBRE COMPLETO],MATCH(ROWS($M$8:M213),$M$8:$M$404,0)),"")</f>
        <v/>
      </c>
    </row>
    <row r="214" spans="12:14" ht="15" customHeight="1" x14ac:dyDescent="0.25">
      <c r="L214" s="57">
        <f>--ISNUMBER(IFERROR(SEARCH($E$6,General!$I$8,1),""))</f>
        <v>1</v>
      </c>
      <c r="M214" s="57">
        <f>IF(L214=1,COUNTIF($L$8:L214,1),"")</f>
        <v>196</v>
      </c>
      <c r="N214" s="57" t="str">
        <f>IFERROR(INDEX(Tabla1[NOMBRE COMPLETO],MATCH(ROWS($M$8:M214),$M$8:$M$404,0)),"")</f>
        <v/>
      </c>
    </row>
    <row r="215" spans="12:14" ht="15" customHeight="1" x14ac:dyDescent="0.25">
      <c r="L215" s="57">
        <f>--ISNUMBER(IFERROR(SEARCH($E$6,General!$I$9,1),""))</f>
        <v>1</v>
      </c>
      <c r="M215" s="57">
        <f>IF(L215=1,COUNTIF($L$8:L215,1),"")</f>
        <v>197</v>
      </c>
      <c r="N215" s="57" t="str">
        <f>IFERROR(INDEX(Tabla1[NOMBRE COMPLETO],MATCH(ROWS($M$8:M215),$M$8:$M$404,0)),"")</f>
        <v/>
      </c>
    </row>
    <row r="216" spans="12:14" ht="15" customHeight="1" x14ac:dyDescent="0.25">
      <c r="L216" s="57">
        <f>--ISNUMBER(IFERROR(SEARCH($E$6,General!$I$10,1),""))</f>
        <v>1</v>
      </c>
      <c r="M216" s="57">
        <f>IF(L216=1,COUNTIF($L$8:L216,1),"")</f>
        <v>198</v>
      </c>
      <c r="N216" s="57" t="str">
        <f>IFERROR(INDEX(Tabla1[NOMBRE COMPLETO],MATCH(ROWS($M$8:M216),$M$8:$M$404,0)),"")</f>
        <v/>
      </c>
    </row>
    <row r="217" spans="12:14" ht="15" customHeight="1" x14ac:dyDescent="0.25">
      <c r="L217" s="57">
        <f>--ISNUMBER(IFERROR(SEARCH($E$6,General!$I$11,1),""))</f>
        <v>1</v>
      </c>
      <c r="M217" s="57">
        <f>IF(L217=1,COUNTIF($L$8:L217,1),"")</f>
        <v>199</v>
      </c>
      <c r="N217" s="57" t="str">
        <f>IFERROR(INDEX(Tabla1[NOMBRE COMPLETO],MATCH(ROWS($M$8:M217),$M$8:$M$404,0)),"")</f>
        <v/>
      </c>
    </row>
    <row r="218" spans="12:14" ht="15" customHeight="1" x14ac:dyDescent="0.25">
      <c r="L218" s="57">
        <f>--ISNUMBER(IFERROR(SEARCH($E$6,General!$I$12,1),""))</f>
        <v>1</v>
      </c>
      <c r="M218" s="57">
        <f>IF(L218=1,COUNTIF($L$8:L218,1),"")</f>
        <v>200</v>
      </c>
      <c r="N218" s="57" t="str">
        <f>IFERROR(INDEX(Tabla1[NOMBRE COMPLETO],MATCH(ROWS($M$8:M218),$M$8:$M$404,0)),"")</f>
        <v/>
      </c>
    </row>
    <row r="219" spans="12:14" ht="15" customHeight="1" x14ac:dyDescent="0.25">
      <c r="L219" s="57">
        <f>--ISNUMBER(IFERROR(SEARCH($E$6,General!$I$13,1),""))</f>
        <v>1</v>
      </c>
      <c r="M219" s="57">
        <f>IF(L219=1,COUNTIF($L$8:L219,1),"")</f>
        <v>201</v>
      </c>
      <c r="N219" s="57" t="str">
        <f>IFERROR(INDEX(Tabla1[NOMBRE COMPLETO],MATCH(ROWS($M$8:M219),$M$8:$M$404,0)),"")</f>
        <v/>
      </c>
    </row>
    <row r="220" spans="12:14" ht="15" customHeight="1" x14ac:dyDescent="0.25">
      <c r="L220" s="57">
        <f>--ISNUMBER(IFERROR(SEARCH($E$6,General!$I$14,1),""))</f>
        <v>1</v>
      </c>
      <c r="M220" s="57">
        <f>IF(L220=1,COUNTIF($L$8:L220,1),"")</f>
        <v>202</v>
      </c>
      <c r="N220" s="57" t="str">
        <f>IFERROR(INDEX(Tabla1[NOMBRE COMPLETO],MATCH(ROWS($M$8:M220),$M$8:$M$404,0)),"")</f>
        <v/>
      </c>
    </row>
    <row r="221" spans="12:14" ht="15" customHeight="1" x14ac:dyDescent="0.25">
      <c r="L221" s="57">
        <f>--ISNUMBER(IFERROR(SEARCH($E$6,General!$I$15,1),""))</f>
        <v>1</v>
      </c>
      <c r="M221" s="57">
        <f>IF(L221=1,COUNTIF($L$8:L221,1),"")</f>
        <v>203</v>
      </c>
      <c r="N221" s="57" t="str">
        <f>IFERROR(INDEX(Tabla1[NOMBRE COMPLETO],MATCH(ROWS($M$8:M221),$M$8:$M$404,0)),"")</f>
        <v/>
      </c>
    </row>
    <row r="222" spans="12:14" ht="15" customHeight="1" x14ac:dyDescent="0.25">
      <c r="L222" s="57">
        <f>--ISNUMBER(IFERROR(SEARCH($E$6,General!$I$16,1),""))</f>
        <v>1</v>
      </c>
      <c r="M222" s="57">
        <f>IF(L222=1,COUNTIF($L$8:L222,1),"")</f>
        <v>204</v>
      </c>
      <c r="N222" s="57" t="str">
        <f>IFERROR(INDEX(Tabla1[NOMBRE COMPLETO],MATCH(ROWS($M$8:M222),$M$8:$M$404,0)),"")</f>
        <v/>
      </c>
    </row>
    <row r="223" spans="12:14" ht="15" customHeight="1" x14ac:dyDescent="0.25">
      <c r="L223" s="57">
        <f>--ISNUMBER(IFERROR(SEARCH($E$6,General!$I$17,1),""))</f>
        <v>1</v>
      </c>
      <c r="M223" s="57">
        <f>IF(L223=1,COUNTIF($L$8:L223,1),"")</f>
        <v>205</v>
      </c>
      <c r="N223" s="57" t="str">
        <f>IFERROR(INDEX(Tabla1[NOMBRE COMPLETO],MATCH(ROWS($M$8:M223),$M$8:$M$404,0)),"")</f>
        <v/>
      </c>
    </row>
    <row r="224" spans="12:14" ht="15" customHeight="1" x14ac:dyDescent="0.25">
      <c r="L224" s="57">
        <f>--ISNUMBER(IFERROR(SEARCH($E$6,General!$I$18,1),""))</f>
        <v>1</v>
      </c>
      <c r="M224" s="57">
        <f>IF(L224=1,COUNTIF($L$8:L224,1),"")</f>
        <v>206</v>
      </c>
      <c r="N224" s="57" t="str">
        <f>IFERROR(INDEX(Tabla1[NOMBRE COMPLETO],MATCH(ROWS($M$8:M224),$M$8:$M$404,0)),"")</f>
        <v/>
      </c>
    </row>
    <row r="225" spans="12:14" ht="15" customHeight="1" x14ac:dyDescent="0.25">
      <c r="L225" s="57">
        <f>--ISNUMBER(IFERROR(SEARCH($E$6,General!$I$19,1),""))</f>
        <v>1</v>
      </c>
      <c r="M225" s="57">
        <f>IF(L225=1,COUNTIF($L$8:L225,1),"")</f>
        <v>207</v>
      </c>
      <c r="N225" s="57" t="str">
        <f>IFERROR(INDEX(Tabla1[NOMBRE COMPLETO],MATCH(ROWS($M$8:M225),$M$8:$M$404,0)),"")</f>
        <v/>
      </c>
    </row>
    <row r="226" spans="12:14" ht="15" customHeight="1" x14ac:dyDescent="0.25">
      <c r="L226" s="57">
        <f>--ISNUMBER(IFERROR(SEARCH($E$6,General!$I$20,1),""))</f>
        <v>1</v>
      </c>
      <c r="M226" s="57">
        <f>IF(L226=1,COUNTIF($L$8:L226,1),"")</f>
        <v>208</v>
      </c>
      <c r="N226" s="57" t="str">
        <f>IFERROR(INDEX(Tabla1[NOMBRE COMPLETO],MATCH(ROWS($M$8:M226),$M$8:$M$404,0)),"")</f>
        <v/>
      </c>
    </row>
    <row r="227" spans="12:14" ht="15" customHeight="1" x14ac:dyDescent="0.25">
      <c r="L227" s="57">
        <f>--ISNUMBER(IFERROR(SEARCH($E$6,General!$I$21,1),""))</f>
        <v>1</v>
      </c>
      <c r="M227" s="57">
        <f>IF(L227=1,COUNTIF($L$8:L227,1),"")</f>
        <v>209</v>
      </c>
      <c r="N227" s="57" t="str">
        <f>IFERROR(INDEX(Tabla1[NOMBRE COMPLETO],MATCH(ROWS($M$8:M227),$M$8:$M$404,0)),"")</f>
        <v/>
      </c>
    </row>
    <row r="228" spans="12:14" ht="15" customHeight="1" x14ac:dyDescent="0.25">
      <c r="L228" s="57">
        <f>--ISNUMBER(IFERROR(SEARCH($E$6,General!$I$22,1),""))</f>
        <v>1</v>
      </c>
      <c r="M228" s="57">
        <f>IF(L228=1,COUNTIF($L$8:L228,1),"")</f>
        <v>210</v>
      </c>
      <c r="N228" s="57" t="str">
        <f>IFERROR(INDEX(Tabla1[NOMBRE COMPLETO],MATCH(ROWS($M$8:M228),$M$8:$M$404,0)),"")</f>
        <v/>
      </c>
    </row>
    <row r="229" spans="12:14" ht="15" customHeight="1" x14ac:dyDescent="0.25">
      <c r="L229" s="57">
        <f>--ISNUMBER(IFERROR(SEARCH($E$6,General!$I$23,1),""))</f>
        <v>1</v>
      </c>
      <c r="M229" s="57">
        <f>IF(L229=1,COUNTIF($L$8:L229,1),"")</f>
        <v>211</v>
      </c>
      <c r="N229" s="57" t="str">
        <f>IFERROR(INDEX(Tabla1[NOMBRE COMPLETO],MATCH(ROWS($M$8:M229),$M$8:$M$404,0)),"")</f>
        <v/>
      </c>
    </row>
    <row r="230" spans="12:14" ht="15" customHeight="1" x14ac:dyDescent="0.25">
      <c r="L230" s="57">
        <f>--ISNUMBER(IFERROR(SEARCH($E$6,General!$I$24,1),""))</f>
        <v>1</v>
      </c>
      <c r="M230" s="57">
        <f>IF(L230=1,COUNTIF($L$8:L230,1),"")</f>
        <v>212</v>
      </c>
      <c r="N230" s="57" t="str">
        <f>IFERROR(INDEX(Tabla1[NOMBRE COMPLETO],MATCH(ROWS($M$8:M230),$M$8:$M$404,0)),"")</f>
        <v/>
      </c>
    </row>
    <row r="231" spans="12:14" ht="15" customHeight="1" x14ac:dyDescent="0.25">
      <c r="L231" s="57">
        <f>--ISNUMBER(IFERROR(SEARCH($E$6,General!$I$25,1),""))</f>
        <v>1</v>
      </c>
      <c r="M231" s="57">
        <f>IF(L231=1,COUNTIF($L$8:L231,1),"")</f>
        <v>213</v>
      </c>
      <c r="N231" s="57" t="str">
        <f>IFERROR(INDEX(Tabla1[NOMBRE COMPLETO],MATCH(ROWS($M$8:M231),$M$8:$M$404,0)),"")</f>
        <v/>
      </c>
    </row>
    <row r="232" spans="12:14" ht="15" customHeight="1" x14ac:dyDescent="0.25">
      <c r="L232" s="57">
        <f>--ISNUMBER(IFERROR(SEARCH($E$6,General!$I$26,1),""))</f>
        <v>1</v>
      </c>
      <c r="M232" s="57">
        <f>IF(L232=1,COUNTIF($L$8:L232,1),"")</f>
        <v>214</v>
      </c>
      <c r="N232" s="57" t="str">
        <f>IFERROR(INDEX(Tabla1[NOMBRE COMPLETO],MATCH(ROWS($M$8:M232),$M$8:$M$404,0)),"")</f>
        <v/>
      </c>
    </row>
    <row r="233" spans="12:14" ht="15" customHeight="1" x14ac:dyDescent="0.25">
      <c r="L233" s="57">
        <f>--ISNUMBER(IFERROR(SEARCH($E$6,General!$I$27,1),""))</f>
        <v>1</v>
      </c>
      <c r="M233" s="57">
        <f>IF(L233=1,COUNTIF($L$8:L233,1),"")</f>
        <v>215</v>
      </c>
      <c r="N233" s="57" t="str">
        <f>IFERROR(INDEX(Tabla1[NOMBRE COMPLETO],MATCH(ROWS($M$8:M233),$M$8:$M$404,0)),"")</f>
        <v/>
      </c>
    </row>
    <row r="234" spans="12:14" ht="15" customHeight="1" x14ac:dyDescent="0.25">
      <c r="L234" s="57">
        <f>--ISNUMBER(IFERROR(SEARCH($E$6,General!$I$28,1),""))</f>
        <v>1</v>
      </c>
      <c r="M234" s="57">
        <f>IF(L234=1,COUNTIF($L$8:L234,1),"")</f>
        <v>216</v>
      </c>
      <c r="N234" s="57" t="str">
        <f>IFERROR(INDEX(Tabla1[NOMBRE COMPLETO],MATCH(ROWS($M$8:M234),$M$8:$M$404,0)),"")</f>
        <v/>
      </c>
    </row>
    <row r="235" spans="12:14" ht="15" customHeight="1" x14ac:dyDescent="0.25">
      <c r="L235" s="57">
        <f>--ISNUMBER(IFERROR(SEARCH($E$6,General!$I$29,1),""))</f>
        <v>1</v>
      </c>
      <c r="M235" s="57">
        <f>IF(L235=1,COUNTIF($L$8:L235,1),"")</f>
        <v>217</v>
      </c>
      <c r="N235" s="57" t="str">
        <f>IFERROR(INDEX(Tabla1[NOMBRE COMPLETO],MATCH(ROWS($M$8:M235),$M$8:$M$404,0)),"")</f>
        <v/>
      </c>
    </row>
    <row r="236" spans="12:14" ht="15" customHeight="1" x14ac:dyDescent="0.25">
      <c r="L236" s="57">
        <f>--ISNUMBER(IFERROR(SEARCH($E$6,General!$I$30,1),""))</f>
        <v>1</v>
      </c>
      <c r="M236" s="57">
        <f>IF(L236=1,COUNTIF($L$8:L236,1),"")</f>
        <v>218</v>
      </c>
      <c r="N236" s="57" t="str">
        <f>IFERROR(INDEX(Tabla1[NOMBRE COMPLETO],MATCH(ROWS($M$8:M236),$M$8:$M$404,0)),"")</f>
        <v/>
      </c>
    </row>
    <row r="237" spans="12:14" ht="15" customHeight="1" x14ac:dyDescent="0.25">
      <c r="L237" s="57">
        <f>--ISNUMBER(IFERROR(SEARCH($E$6,General!$I$31,1),""))</f>
        <v>1</v>
      </c>
      <c r="M237" s="57">
        <f>IF(L237=1,COUNTIF($L$8:L237,1),"")</f>
        <v>219</v>
      </c>
      <c r="N237" s="57" t="str">
        <f>IFERROR(INDEX(Tabla1[NOMBRE COMPLETO],MATCH(ROWS($M$8:M237),$M$8:$M$404,0)),"")</f>
        <v/>
      </c>
    </row>
    <row r="238" spans="12:14" ht="15" customHeight="1" x14ac:dyDescent="0.25">
      <c r="L238" s="57">
        <f>--ISNUMBER(IFERROR(SEARCH($E$6,General!$I$32,1),""))</f>
        <v>1</v>
      </c>
      <c r="M238" s="57">
        <f>IF(L238=1,COUNTIF($L$8:L238,1),"")</f>
        <v>220</v>
      </c>
      <c r="N238" s="57" t="str">
        <f>IFERROR(INDEX(Tabla1[NOMBRE COMPLETO],MATCH(ROWS($M$8:M238),$M$8:$M$404,0)),"")</f>
        <v/>
      </c>
    </row>
    <row r="239" spans="12:14" ht="15" customHeight="1" x14ac:dyDescent="0.25">
      <c r="L239" s="57">
        <f>--ISNUMBER(IFERROR(SEARCH($E$6,General!$I$33,1),""))</f>
        <v>1</v>
      </c>
      <c r="M239" s="57">
        <f>IF(L239=1,COUNTIF($L$8:L239,1),"")</f>
        <v>221</v>
      </c>
      <c r="N239" s="57" t="str">
        <f>IFERROR(INDEX(Tabla1[NOMBRE COMPLETO],MATCH(ROWS($M$8:M239),$M$8:$M$404,0)),"")</f>
        <v/>
      </c>
    </row>
    <row r="240" spans="12:14" ht="15" customHeight="1" x14ac:dyDescent="0.25">
      <c r="L240" s="57">
        <f>--ISNUMBER(IFERROR(SEARCH($E$6,General!$I$34,1),""))</f>
        <v>1</v>
      </c>
      <c r="M240" s="57">
        <f>IF(L240=1,COUNTIF($L$8:L240,1),"")</f>
        <v>222</v>
      </c>
      <c r="N240" s="57" t="str">
        <f>IFERROR(INDEX(Tabla1[NOMBRE COMPLETO],MATCH(ROWS($M$8:M240),$M$8:$M$404,0)),"")</f>
        <v/>
      </c>
    </row>
    <row r="241" spans="12:14" ht="15" customHeight="1" x14ac:dyDescent="0.25">
      <c r="L241" s="57">
        <f>--ISNUMBER(IFERROR(SEARCH($E$6,General!$I$35,1),""))</f>
        <v>1</v>
      </c>
      <c r="M241" s="57">
        <f>IF(L241=1,COUNTIF($L$8:L241,1),"")</f>
        <v>223</v>
      </c>
      <c r="N241" s="57" t="str">
        <f>IFERROR(INDEX(Tabla1[NOMBRE COMPLETO],MATCH(ROWS($M$8:M241),$M$8:$M$404,0)),"")</f>
        <v/>
      </c>
    </row>
    <row r="242" spans="12:14" ht="15" customHeight="1" x14ac:dyDescent="0.25">
      <c r="L242" s="57">
        <f>--ISNUMBER(IFERROR(SEARCH($E$6,General!$I$36,1),""))</f>
        <v>1</v>
      </c>
      <c r="M242" s="57">
        <f>IF(L242=1,COUNTIF($L$8:L242,1),"")</f>
        <v>224</v>
      </c>
      <c r="N242" s="57" t="str">
        <f>IFERROR(INDEX(Tabla1[NOMBRE COMPLETO],MATCH(ROWS($M$8:M242),$M$8:$M$404,0)),"")</f>
        <v/>
      </c>
    </row>
    <row r="243" spans="12:14" ht="15" customHeight="1" x14ac:dyDescent="0.25">
      <c r="L243" s="57">
        <f>--ISNUMBER(IFERROR(SEARCH($E$6,General!$I$37,1),""))</f>
        <v>1</v>
      </c>
      <c r="M243" s="57">
        <f>IF(L243=1,COUNTIF($L$8:L243,1),"")</f>
        <v>225</v>
      </c>
      <c r="N243" s="57" t="str">
        <f>IFERROR(INDEX(Tabla1[NOMBRE COMPLETO],MATCH(ROWS($M$8:M243),$M$8:$M$404,0)),"")</f>
        <v/>
      </c>
    </row>
    <row r="244" spans="12:14" ht="15" customHeight="1" x14ac:dyDescent="0.25">
      <c r="L244" s="57">
        <f>--ISNUMBER(IFERROR(SEARCH($E$6,General!$I$38,1),""))</f>
        <v>1</v>
      </c>
      <c r="M244" s="57">
        <f>IF(L244=1,COUNTIF($L$8:L244,1),"")</f>
        <v>226</v>
      </c>
      <c r="N244" s="57" t="str">
        <f>IFERROR(INDEX(Tabla1[NOMBRE COMPLETO],MATCH(ROWS($M$8:M244),$M$8:$M$404,0)),"")</f>
        <v/>
      </c>
    </row>
    <row r="245" spans="12:14" ht="15" customHeight="1" x14ac:dyDescent="0.25">
      <c r="L245" s="57">
        <f>--ISNUMBER(IFERROR(SEARCH($E$6,General!$I$39,1),""))</f>
        <v>1</v>
      </c>
      <c r="M245" s="57">
        <f>IF(L245=1,COUNTIF($L$8:L245,1),"")</f>
        <v>227</v>
      </c>
      <c r="N245" s="57" t="str">
        <f>IFERROR(INDEX(Tabla1[NOMBRE COMPLETO],MATCH(ROWS($M$8:M245),$M$8:$M$404,0)),"")</f>
        <v/>
      </c>
    </row>
    <row r="246" spans="12:14" ht="15" customHeight="1" x14ac:dyDescent="0.25">
      <c r="L246" s="57">
        <f>--ISNUMBER(IFERROR(SEARCH($E$6,General!$I$40,1),""))</f>
        <v>1</v>
      </c>
      <c r="M246" s="57">
        <f>IF(L246=1,COUNTIF($L$8:L246,1),"")</f>
        <v>228</v>
      </c>
      <c r="N246" s="57" t="str">
        <f>IFERROR(INDEX(Tabla1[NOMBRE COMPLETO],MATCH(ROWS($M$8:M246),$M$8:$M$404,0)),"")</f>
        <v/>
      </c>
    </row>
    <row r="247" spans="12:14" ht="15" customHeight="1" x14ac:dyDescent="0.25">
      <c r="L247" s="57">
        <f>--ISNUMBER(IFERROR(SEARCH($E$6,General!$I$41,1),""))</f>
        <v>1</v>
      </c>
      <c r="M247" s="57">
        <f>IF(L247=1,COUNTIF($L$8:L247,1),"")</f>
        <v>229</v>
      </c>
      <c r="N247" s="57" t="str">
        <f>IFERROR(INDEX(Tabla1[NOMBRE COMPLETO],MATCH(ROWS($M$8:M247),$M$8:$M$404,0)),"")</f>
        <v/>
      </c>
    </row>
    <row r="248" spans="12:14" ht="15" customHeight="1" x14ac:dyDescent="0.25">
      <c r="L248" s="57">
        <f>--ISNUMBER(IFERROR(SEARCH($E$6,General!$I$42,1),""))</f>
        <v>1</v>
      </c>
      <c r="M248" s="57">
        <f>IF(L248=1,COUNTIF($L$8:L248,1),"")</f>
        <v>230</v>
      </c>
      <c r="N248" s="57" t="str">
        <f>IFERROR(INDEX(Tabla1[NOMBRE COMPLETO],MATCH(ROWS($M$8:M248),$M$8:$M$404,0)),"")</f>
        <v/>
      </c>
    </row>
    <row r="249" spans="12:14" ht="15" customHeight="1" x14ac:dyDescent="0.25">
      <c r="L249" s="57">
        <f>--ISNUMBER(IFERROR(SEARCH($E$6,General!$I$43,1),""))</f>
        <v>1</v>
      </c>
      <c r="M249" s="57">
        <f>IF(L249=1,COUNTIF($L$8:L249,1),"")</f>
        <v>231</v>
      </c>
      <c r="N249" s="57" t="str">
        <f>IFERROR(INDEX(Tabla1[NOMBRE COMPLETO],MATCH(ROWS($M$8:M249),$M$8:$M$404,0)),"")</f>
        <v/>
      </c>
    </row>
    <row r="250" spans="12:14" ht="15" customHeight="1" x14ac:dyDescent="0.25">
      <c r="L250" s="57">
        <f>--ISNUMBER(IFERROR(SEARCH($E$6,General!$I$44,1),""))</f>
        <v>1</v>
      </c>
      <c r="M250" s="57">
        <f>IF(L250=1,COUNTIF($L$8:L250,1),"")</f>
        <v>232</v>
      </c>
      <c r="N250" s="57" t="str">
        <f>IFERROR(INDEX(Tabla1[NOMBRE COMPLETO],MATCH(ROWS($M$8:M250),$M$8:$M$404,0)),"")</f>
        <v/>
      </c>
    </row>
    <row r="251" spans="12:14" ht="15" customHeight="1" x14ac:dyDescent="0.25">
      <c r="L251" s="57">
        <f>--ISNUMBER(IFERROR(SEARCH($E$6,General!$I$45,1),""))</f>
        <v>1</v>
      </c>
      <c r="M251" s="57">
        <f>IF(L251=1,COUNTIF($L$8:L251,1),"")</f>
        <v>233</v>
      </c>
      <c r="N251" s="57" t="str">
        <f>IFERROR(INDEX(Tabla1[NOMBRE COMPLETO],MATCH(ROWS($M$8:M251),$M$8:$M$404,0)),"")</f>
        <v/>
      </c>
    </row>
    <row r="252" spans="12:14" ht="15" customHeight="1" x14ac:dyDescent="0.25">
      <c r="L252" s="57">
        <f>--ISNUMBER(IFERROR(SEARCH($E$6,General!$I$46,1),""))</f>
        <v>1</v>
      </c>
      <c r="M252" s="57">
        <f>IF(L252=1,COUNTIF($L$8:L252,1),"")</f>
        <v>234</v>
      </c>
      <c r="N252" s="57" t="str">
        <f>IFERROR(INDEX(Tabla1[NOMBRE COMPLETO],MATCH(ROWS($M$8:M252),$M$8:$M$404,0)),"")</f>
        <v/>
      </c>
    </row>
    <row r="253" spans="12:14" ht="15" customHeight="1" x14ac:dyDescent="0.25">
      <c r="L253" s="57">
        <f>--ISNUMBER(IFERROR(SEARCH($E$6,General!$I$47,1),""))</f>
        <v>1</v>
      </c>
      <c r="M253" s="57">
        <f>IF(L253=1,COUNTIF($L$8:L253,1),"")</f>
        <v>235</v>
      </c>
      <c r="N253" s="57" t="str">
        <f>IFERROR(INDEX(Tabla1[NOMBRE COMPLETO],MATCH(ROWS($M$8:M253),$M$8:$M$404,0)),"")</f>
        <v/>
      </c>
    </row>
    <row r="254" spans="12:14" ht="15" customHeight="1" x14ac:dyDescent="0.25">
      <c r="L254" s="57">
        <f>--ISNUMBER(IFERROR(SEARCH($E$6,General!$I$48,1),""))</f>
        <v>1</v>
      </c>
      <c r="M254" s="57">
        <f>IF(L254=1,COUNTIF($L$8:L254,1),"")</f>
        <v>236</v>
      </c>
      <c r="N254" s="57" t="str">
        <f>IFERROR(INDEX(Tabla1[NOMBRE COMPLETO],MATCH(ROWS($M$8:M254),$M$8:$M$404,0)),"")</f>
        <v/>
      </c>
    </row>
    <row r="255" spans="12:14" ht="15" customHeight="1" x14ac:dyDescent="0.25">
      <c r="L255" s="57">
        <f>--ISNUMBER(IFERROR(SEARCH($E$6,General!$I$49,1),""))</f>
        <v>1</v>
      </c>
      <c r="M255" s="57">
        <f>IF(L255=1,COUNTIF($L$8:L255,1),"")</f>
        <v>237</v>
      </c>
      <c r="N255" s="57" t="str">
        <f>IFERROR(INDEX(Tabla1[NOMBRE COMPLETO],MATCH(ROWS($M$8:M255),$M$8:$M$404,0)),"")</f>
        <v/>
      </c>
    </row>
    <row r="256" spans="12:14" ht="15" customHeight="1" x14ac:dyDescent="0.25">
      <c r="L256" s="57">
        <f>--ISNUMBER(IFERROR(SEARCH($E$6,General!$I$50,1),""))</f>
        <v>1</v>
      </c>
      <c r="M256" s="57">
        <f>IF(L256=1,COUNTIF($L$8:L256,1),"")</f>
        <v>238</v>
      </c>
      <c r="N256" s="57" t="str">
        <f>IFERROR(INDEX(Tabla1[NOMBRE COMPLETO],MATCH(ROWS($M$8:M256),$M$8:$M$404,0)),"")</f>
        <v/>
      </c>
    </row>
    <row r="257" spans="12:14" ht="15" customHeight="1" x14ac:dyDescent="0.25">
      <c r="L257" s="57">
        <f>--ISNUMBER(IFERROR(SEARCH($E$6,General!$I$51,1),""))</f>
        <v>1</v>
      </c>
      <c r="M257" s="57">
        <f>IF(L257=1,COUNTIF($L$8:L257,1),"")</f>
        <v>239</v>
      </c>
      <c r="N257" s="57" t="str">
        <f>IFERROR(INDEX(Tabla1[NOMBRE COMPLETO],MATCH(ROWS($M$8:M257),$M$8:$M$404,0)),"")</f>
        <v/>
      </c>
    </row>
    <row r="258" spans="12:14" ht="15" customHeight="1" x14ac:dyDescent="0.25">
      <c r="L258" s="57">
        <f>--ISNUMBER(IFERROR(SEARCH($E$6,General!$I$52,1),""))</f>
        <v>1</v>
      </c>
      <c r="M258" s="57">
        <f>IF(L258=1,COUNTIF($L$8:L258,1),"")</f>
        <v>240</v>
      </c>
      <c r="N258" s="57" t="str">
        <f>IFERROR(INDEX(Tabla1[NOMBRE COMPLETO],MATCH(ROWS($M$8:M258),$M$8:$M$404,0)),"")</f>
        <v/>
      </c>
    </row>
    <row r="259" spans="12:14" ht="15" customHeight="1" x14ac:dyDescent="0.25">
      <c r="L259" s="57">
        <f>--ISNUMBER(IFERROR(SEARCH($E$6,General!$I$53,1),""))</f>
        <v>1</v>
      </c>
      <c r="M259" s="57">
        <f>IF(L259=1,COUNTIF($L$8:L259,1),"")</f>
        <v>241</v>
      </c>
      <c r="N259" s="57" t="str">
        <f>IFERROR(INDEX(Tabla1[NOMBRE COMPLETO],MATCH(ROWS($M$8:M259),$M$8:$M$404,0)),"")</f>
        <v/>
      </c>
    </row>
    <row r="260" spans="12:14" ht="15" customHeight="1" x14ac:dyDescent="0.25">
      <c r="L260" s="57">
        <f>--ISNUMBER(IFERROR(SEARCH($E$6,General!$I$54,1),""))</f>
        <v>1</v>
      </c>
      <c r="M260" s="57">
        <f>IF(L260=1,COUNTIF($L$8:L260,1),"")</f>
        <v>242</v>
      </c>
      <c r="N260" s="57" t="str">
        <f>IFERROR(INDEX(Tabla1[NOMBRE COMPLETO],MATCH(ROWS($M$8:M260),$M$8:$M$404,0)),"")</f>
        <v/>
      </c>
    </row>
    <row r="261" spans="12:14" ht="15" customHeight="1" x14ac:dyDescent="0.25">
      <c r="L261" s="57">
        <f>--ISNUMBER(IFERROR(SEARCH($E$6,General!$I$55,1),""))</f>
        <v>1</v>
      </c>
      <c r="M261" s="57">
        <f>IF(L261=1,COUNTIF($L$8:L261,1),"")</f>
        <v>243</v>
      </c>
      <c r="N261" s="57" t="str">
        <f>IFERROR(INDEX(Tabla1[NOMBRE COMPLETO],MATCH(ROWS($M$8:M261),$M$8:$M$404,0)),"")</f>
        <v/>
      </c>
    </row>
    <row r="262" spans="12:14" ht="15" customHeight="1" x14ac:dyDescent="0.25">
      <c r="L262" s="57">
        <f>--ISNUMBER(IFERROR(SEARCH($E$6,General!$I$56,1),""))</f>
        <v>1</v>
      </c>
      <c r="M262" s="57">
        <f>IF(L262=1,COUNTIF($L$8:L262,1),"")</f>
        <v>244</v>
      </c>
      <c r="N262" s="57" t="str">
        <f>IFERROR(INDEX(Tabla1[NOMBRE COMPLETO],MATCH(ROWS($M$8:M262),$M$8:$M$404,0)),"")</f>
        <v/>
      </c>
    </row>
    <row r="263" spans="12:14" ht="15" customHeight="1" x14ac:dyDescent="0.25">
      <c r="L263" s="57">
        <f>--ISNUMBER(IFERROR(SEARCH($E$6,General!$I$57,1),""))</f>
        <v>1</v>
      </c>
      <c r="M263" s="57">
        <f>IF(L263=1,COUNTIF($L$8:L263,1),"")</f>
        <v>245</v>
      </c>
      <c r="N263" s="57" t="str">
        <f>IFERROR(INDEX(Tabla1[NOMBRE COMPLETO],MATCH(ROWS($M$8:M263),$M$8:$M$404,0)),"")</f>
        <v/>
      </c>
    </row>
    <row r="264" spans="12:14" ht="15" customHeight="1" x14ac:dyDescent="0.25">
      <c r="L264" s="57">
        <f>--ISNUMBER(IFERROR(SEARCH($E$6,General!$I$58,1),""))</f>
        <v>1</v>
      </c>
      <c r="M264" s="57">
        <f>IF(L264=1,COUNTIF($L$8:L264,1),"")</f>
        <v>246</v>
      </c>
      <c r="N264" s="57" t="str">
        <f>IFERROR(INDEX(Tabla1[NOMBRE COMPLETO],MATCH(ROWS($M$8:M264),$M$8:$M$404,0)),"")</f>
        <v/>
      </c>
    </row>
    <row r="265" spans="12:14" ht="15" customHeight="1" x14ac:dyDescent="0.25">
      <c r="L265" s="57">
        <f>--ISNUMBER(IFERROR(SEARCH($E$6,General!$I$59,1),""))</f>
        <v>1</v>
      </c>
      <c r="M265" s="57">
        <f>IF(L265=1,COUNTIF($L$8:L265,1),"")</f>
        <v>247</v>
      </c>
      <c r="N265" s="57" t="str">
        <f>IFERROR(INDEX(Tabla1[NOMBRE COMPLETO],MATCH(ROWS($M$8:M265),$M$8:$M$404,0)),"")</f>
        <v/>
      </c>
    </row>
    <row r="266" spans="12:14" ht="15" customHeight="1" x14ac:dyDescent="0.25">
      <c r="L266" s="57">
        <f>--ISNUMBER(IFERROR(SEARCH($E$6,General!$I$60,1),""))</f>
        <v>1</v>
      </c>
      <c r="M266" s="57">
        <f>IF(L266=1,COUNTIF($L$8:L266,1),"")</f>
        <v>248</v>
      </c>
      <c r="N266" s="57" t="str">
        <f>IFERROR(INDEX(Tabla1[NOMBRE COMPLETO],MATCH(ROWS($M$8:M266),$M$8:$M$404,0)),"")</f>
        <v/>
      </c>
    </row>
    <row r="267" spans="12:14" ht="15" customHeight="1" x14ac:dyDescent="0.25">
      <c r="L267" s="57">
        <f>--ISNUMBER(IFERROR(SEARCH($E$6,General!$I$61,1),""))</f>
        <v>1</v>
      </c>
      <c r="M267" s="57">
        <f>IF(L267=1,COUNTIF($L$8:L267,1),"")</f>
        <v>249</v>
      </c>
      <c r="N267" s="57" t="str">
        <f>IFERROR(INDEX(Tabla1[NOMBRE COMPLETO],MATCH(ROWS($M$8:M267),$M$8:$M$404,0)),"")</f>
        <v/>
      </c>
    </row>
    <row r="268" spans="12:14" ht="15" customHeight="1" x14ac:dyDescent="0.25">
      <c r="L268" s="57">
        <f>--ISNUMBER(IFERROR(SEARCH($E$6,General!$I$62,1),""))</f>
        <v>1</v>
      </c>
      <c r="M268" s="57">
        <f>IF(L268=1,COUNTIF($L$8:L268,1),"")</f>
        <v>250</v>
      </c>
      <c r="N268" s="57" t="str">
        <f>IFERROR(INDEX(Tabla1[NOMBRE COMPLETO],MATCH(ROWS($M$8:M268),$M$8:$M$404,0)),"")</f>
        <v/>
      </c>
    </row>
    <row r="269" spans="12:14" ht="15" customHeight="1" x14ac:dyDescent="0.25">
      <c r="L269" s="57">
        <f>--ISNUMBER(IFERROR(SEARCH($E$6,General!$I$63,1),""))</f>
        <v>1</v>
      </c>
      <c r="M269" s="57">
        <f>IF(L269=1,COUNTIF($L$8:L269,1),"")</f>
        <v>251</v>
      </c>
      <c r="N269" s="57" t="str">
        <f>IFERROR(INDEX(Tabla1[NOMBRE COMPLETO],MATCH(ROWS($M$8:M269),$M$8:$M$404,0)),"")</f>
        <v/>
      </c>
    </row>
    <row r="270" spans="12:14" ht="15" customHeight="1" x14ac:dyDescent="0.25">
      <c r="L270" s="57">
        <f>--ISNUMBER(IFERROR(SEARCH($E$6,General!$I$64,1),""))</f>
        <v>1</v>
      </c>
      <c r="M270" s="57">
        <f>IF(L270=1,COUNTIF($L$8:L270,1),"")</f>
        <v>252</v>
      </c>
      <c r="N270" s="57" t="str">
        <f>IFERROR(INDEX(Tabla1[NOMBRE COMPLETO],MATCH(ROWS($M$8:M270),$M$8:$M$404,0)),"")</f>
        <v/>
      </c>
    </row>
    <row r="271" spans="12:14" ht="15" customHeight="1" x14ac:dyDescent="0.25">
      <c r="L271" s="57">
        <f>--ISNUMBER(IFERROR(SEARCH($E$6,General!$I$65,1),""))</f>
        <v>1</v>
      </c>
      <c r="M271" s="57">
        <f>IF(L271=1,COUNTIF($L$8:L271,1),"")</f>
        <v>253</v>
      </c>
      <c r="N271" s="57" t="str">
        <f>IFERROR(INDEX(Tabla1[NOMBRE COMPLETO],MATCH(ROWS($M$8:M271),$M$8:$M$404,0)),"")</f>
        <v/>
      </c>
    </row>
    <row r="272" spans="12:14" ht="15" customHeight="1" x14ac:dyDescent="0.25">
      <c r="L272" s="57">
        <f>--ISNUMBER(IFERROR(SEARCH($E$6,General!$I$66,1),""))</f>
        <v>1</v>
      </c>
      <c r="M272" s="57">
        <f>IF(L272=1,COUNTIF($L$8:L272,1),"")</f>
        <v>254</v>
      </c>
      <c r="N272" s="57" t="str">
        <f>IFERROR(INDEX(Tabla1[NOMBRE COMPLETO],MATCH(ROWS($M$8:M272),$M$8:$M$404,0)),"")</f>
        <v/>
      </c>
    </row>
    <row r="273" spans="12:14" ht="15" customHeight="1" x14ac:dyDescent="0.25">
      <c r="L273" s="57">
        <f>--ISNUMBER(IFERROR(SEARCH($E$6,General!$I$67,1),""))</f>
        <v>1</v>
      </c>
      <c r="M273" s="57">
        <f>IF(L273=1,COUNTIF($L$8:L273,1),"")</f>
        <v>255</v>
      </c>
      <c r="N273" s="57" t="str">
        <f>IFERROR(INDEX(Tabla1[NOMBRE COMPLETO],MATCH(ROWS($M$8:M273),$M$8:$M$404,0)),"")</f>
        <v/>
      </c>
    </row>
    <row r="274" spans="12:14" ht="15" customHeight="1" x14ac:dyDescent="0.25">
      <c r="L274" s="57">
        <f>--ISNUMBER(IFERROR(SEARCH($E$6,General!$I$68,1),""))</f>
        <v>1</v>
      </c>
      <c r="M274" s="57">
        <f>IF(L274=1,COUNTIF($L$8:L274,1),"")</f>
        <v>256</v>
      </c>
      <c r="N274" s="57" t="str">
        <f>IFERROR(INDEX(Tabla1[NOMBRE COMPLETO],MATCH(ROWS($M$8:M274),$M$8:$M$404,0)),"")</f>
        <v/>
      </c>
    </row>
    <row r="275" spans="12:14" ht="15" customHeight="1" x14ac:dyDescent="0.25">
      <c r="L275" s="57">
        <f>--ISNUMBER(IFERROR(SEARCH($E$6,General!$I$69,1),""))</f>
        <v>1</v>
      </c>
      <c r="M275" s="57">
        <f>IF(L275=1,COUNTIF($L$8:L275,1),"")</f>
        <v>257</v>
      </c>
      <c r="N275" s="57" t="str">
        <f>IFERROR(INDEX(Tabla1[NOMBRE COMPLETO],MATCH(ROWS($M$8:M275),$M$8:$M$404,0)),"")</f>
        <v/>
      </c>
    </row>
    <row r="276" spans="12:14" ht="15" customHeight="1" x14ac:dyDescent="0.25">
      <c r="L276" s="57">
        <f>--ISNUMBER(IFERROR(SEARCH($E$6,General!$I$70,1),""))</f>
        <v>1</v>
      </c>
      <c r="M276" s="57">
        <f>IF(L276=1,COUNTIF($L$8:L276,1),"")</f>
        <v>258</v>
      </c>
      <c r="N276" s="57" t="str">
        <f>IFERROR(INDEX(Tabla1[NOMBRE COMPLETO],MATCH(ROWS($M$8:M276),$M$8:$M$404,0)),"")</f>
        <v/>
      </c>
    </row>
    <row r="277" spans="12:14" ht="15" customHeight="1" x14ac:dyDescent="0.25">
      <c r="L277" s="57">
        <f>--ISNUMBER(IFERROR(SEARCH($E$6,General!$I$71,1),""))</f>
        <v>1</v>
      </c>
      <c r="M277" s="57">
        <f>IF(L277=1,COUNTIF($L$8:L277,1),"")</f>
        <v>259</v>
      </c>
      <c r="N277" s="57" t="str">
        <f>IFERROR(INDEX(Tabla1[NOMBRE COMPLETO],MATCH(ROWS($M$8:M277),$M$8:$M$404,0)),"")</f>
        <v/>
      </c>
    </row>
    <row r="278" spans="12:14" ht="15" customHeight="1" x14ac:dyDescent="0.25">
      <c r="L278" s="57">
        <f>--ISNUMBER(IFERROR(SEARCH($E$6,General!$I$72,1),""))</f>
        <v>1</v>
      </c>
      <c r="M278" s="57">
        <f>IF(L278=1,COUNTIF($L$8:L278,1),"")</f>
        <v>260</v>
      </c>
      <c r="N278" s="57" t="str">
        <f>IFERROR(INDEX(Tabla1[NOMBRE COMPLETO],MATCH(ROWS($M$8:M278),$M$8:$M$404,0)),"")</f>
        <v/>
      </c>
    </row>
    <row r="279" spans="12:14" ht="15" customHeight="1" x14ac:dyDescent="0.25">
      <c r="L279" s="57">
        <f>--ISNUMBER(IFERROR(SEARCH($E$6,General!$I$73,1),""))</f>
        <v>1</v>
      </c>
      <c r="M279" s="57">
        <f>IF(L279=1,COUNTIF($L$8:L279,1),"")</f>
        <v>261</v>
      </c>
      <c r="N279" s="57" t="str">
        <f>IFERROR(INDEX(Tabla1[NOMBRE COMPLETO],MATCH(ROWS($M$8:M279),$M$8:$M$404,0)),"")</f>
        <v/>
      </c>
    </row>
    <row r="280" spans="12:14" ht="15" customHeight="1" x14ac:dyDescent="0.25">
      <c r="L280" s="57">
        <f>--ISNUMBER(IFERROR(SEARCH($E$6,General!$I$74,1),""))</f>
        <v>1</v>
      </c>
      <c r="M280" s="57">
        <f>IF(L280=1,COUNTIF($L$8:L280,1),"")</f>
        <v>262</v>
      </c>
      <c r="N280" s="57" t="str">
        <f>IFERROR(INDEX(Tabla1[NOMBRE COMPLETO],MATCH(ROWS($M$8:M280),$M$8:$M$404,0)),"")</f>
        <v/>
      </c>
    </row>
    <row r="281" spans="12:14" ht="15" customHeight="1" x14ac:dyDescent="0.25">
      <c r="L281" s="57">
        <f>--ISNUMBER(IFERROR(SEARCH($E$6,General!$I$75,1),""))</f>
        <v>1</v>
      </c>
      <c r="M281" s="57">
        <f>IF(L281=1,COUNTIF($L$8:L281,1),"")</f>
        <v>263</v>
      </c>
      <c r="N281" s="57" t="str">
        <f>IFERROR(INDEX(Tabla1[NOMBRE COMPLETO],MATCH(ROWS($M$8:M281),$M$8:$M$404,0)),"")</f>
        <v/>
      </c>
    </row>
    <row r="282" spans="12:14" ht="15" customHeight="1" x14ac:dyDescent="0.25">
      <c r="L282" s="57">
        <f>--ISNUMBER(IFERROR(SEARCH($E$6,General!$I$76,1),""))</f>
        <v>1</v>
      </c>
      <c r="M282" s="57">
        <f>IF(L282=1,COUNTIF($L$8:L282,1),"")</f>
        <v>264</v>
      </c>
      <c r="N282" s="57" t="str">
        <f>IFERROR(INDEX(Tabla1[NOMBRE COMPLETO],MATCH(ROWS($M$8:M282),$M$8:$M$404,0)),"")</f>
        <v/>
      </c>
    </row>
    <row r="283" spans="12:14" ht="15" customHeight="1" x14ac:dyDescent="0.25">
      <c r="L283" s="57">
        <f>--ISNUMBER(IFERROR(SEARCH($E$6,General!$I$77,1),""))</f>
        <v>1</v>
      </c>
      <c r="M283" s="57">
        <f>IF(L283=1,COUNTIF($L$8:L283,1),"")</f>
        <v>265</v>
      </c>
      <c r="N283" s="57" t="str">
        <f>IFERROR(INDEX(Tabla1[NOMBRE COMPLETO],MATCH(ROWS($M$8:M283),$M$8:$M$404,0)),"")</f>
        <v/>
      </c>
    </row>
    <row r="284" spans="12:14" ht="15" customHeight="1" x14ac:dyDescent="0.25">
      <c r="L284" s="57">
        <f>--ISNUMBER(IFERROR(SEARCH($E$6,General!$I$78,1),""))</f>
        <v>1</v>
      </c>
      <c r="M284" s="57">
        <f>IF(L284=1,COUNTIF($L$8:L284,1),"")</f>
        <v>266</v>
      </c>
      <c r="N284" s="57" t="str">
        <f>IFERROR(INDEX(Tabla1[NOMBRE COMPLETO],MATCH(ROWS($M$8:M284),$M$8:$M$404,0)),"")</f>
        <v/>
      </c>
    </row>
    <row r="285" spans="12:14" ht="15" customHeight="1" x14ac:dyDescent="0.25">
      <c r="L285" s="57">
        <f>--ISNUMBER(IFERROR(SEARCH($E$6,General!$I$79,1),""))</f>
        <v>1</v>
      </c>
      <c r="M285" s="57">
        <f>IF(L285=1,COUNTIF($L$8:L285,1),"")</f>
        <v>267</v>
      </c>
      <c r="N285" s="57" t="str">
        <f>IFERROR(INDEX(Tabla1[NOMBRE COMPLETO],MATCH(ROWS($M$8:M285),$M$8:$M$404,0)),"")</f>
        <v/>
      </c>
    </row>
    <row r="286" spans="12:14" ht="15" customHeight="1" x14ac:dyDescent="0.25">
      <c r="L286" s="57">
        <f>--ISNUMBER(IFERROR(SEARCH($E$6,General!$I$80,1),""))</f>
        <v>1</v>
      </c>
      <c r="M286" s="57">
        <f>IF(L286=1,COUNTIF($L$8:L286,1),"")</f>
        <v>268</v>
      </c>
      <c r="N286" s="57" t="str">
        <f>IFERROR(INDEX(Tabla1[NOMBRE COMPLETO],MATCH(ROWS($M$8:M286),$M$8:$M$404,0)),"")</f>
        <v/>
      </c>
    </row>
    <row r="287" spans="12:14" ht="15" customHeight="1" x14ac:dyDescent="0.25">
      <c r="L287" s="57">
        <f>--ISNUMBER(IFERROR(SEARCH($E$6,General!$I$81,1),""))</f>
        <v>1</v>
      </c>
      <c r="M287" s="57">
        <f>IF(L287=1,COUNTIF($L$8:L287,1),"")</f>
        <v>269</v>
      </c>
      <c r="N287" s="57" t="str">
        <f>IFERROR(INDEX(Tabla1[NOMBRE COMPLETO],MATCH(ROWS($M$8:M287),$M$8:$M$404,0)),"")</f>
        <v/>
      </c>
    </row>
    <row r="288" spans="12:14" ht="15" customHeight="1" x14ac:dyDescent="0.25">
      <c r="L288" s="57">
        <f>--ISNUMBER(IFERROR(SEARCH($E$6,General!$I$82,1),""))</f>
        <v>1</v>
      </c>
      <c r="M288" s="57">
        <f>IF(L288=1,COUNTIF($L$8:L288,1),"")</f>
        <v>270</v>
      </c>
      <c r="N288" s="57" t="str">
        <f>IFERROR(INDEX(Tabla1[NOMBRE COMPLETO],MATCH(ROWS($M$8:M288),$M$8:$M$404,0)),"")</f>
        <v/>
      </c>
    </row>
    <row r="289" spans="12:14" ht="15" customHeight="1" x14ac:dyDescent="0.25">
      <c r="L289" s="57">
        <f>--ISNUMBER(IFERROR(SEARCH($E$6,General!$I$83,1),""))</f>
        <v>1</v>
      </c>
      <c r="M289" s="57">
        <f>IF(L289=1,COUNTIF($L$8:L289,1),"")</f>
        <v>271</v>
      </c>
      <c r="N289" s="57" t="str">
        <f>IFERROR(INDEX(Tabla1[NOMBRE COMPLETO],MATCH(ROWS($M$8:M289),$M$8:$M$404,0)),"")</f>
        <v/>
      </c>
    </row>
    <row r="290" spans="12:14" ht="15" customHeight="1" x14ac:dyDescent="0.25">
      <c r="L290" s="57">
        <f>--ISNUMBER(IFERROR(SEARCH($E$6,General!$I$84,1),""))</f>
        <v>1</v>
      </c>
      <c r="M290" s="57">
        <f>IF(L290=1,COUNTIF($L$8:L290,1),"")</f>
        <v>272</v>
      </c>
      <c r="N290" s="57" t="str">
        <f>IFERROR(INDEX(Tabla1[NOMBRE COMPLETO],MATCH(ROWS($M$8:M290),$M$8:$M$404,0)),"")</f>
        <v/>
      </c>
    </row>
    <row r="291" spans="12:14" ht="15" customHeight="1" x14ac:dyDescent="0.25">
      <c r="L291" s="57">
        <f>--ISNUMBER(IFERROR(SEARCH($E$6,General!$I$85,1),""))</f>
        <v>1</v>
      </c>
      <c r="M291" s="57">
        <f>IF(L291=1,COUNTIF($L$8:L291,1),"")</f>
        <v>273</v>
      </c>
      <c r="N291" s="57" t="str">
        <f>IFERROR(INDEX(Tabla1[NOMBRE COMPLETO],MATCH(ROWS($M$8:M291),$M$8:$M$404,0)),"")</f>
        <v/>
      </c>
    </row>
    <row r="292" spans="12:14" ht="15" customHeight="1" x14ac:dyDescent="0.25">
      <c r="L292" s="57">
        <f>--ISNUMBER(IFERROR(SEARCH($E$6,General!$I$86,1),""))</f>
        <v>1</v>
      </c>
      <c r="M292" s="57">
        <f>IF(L292=1,COUNTIF($L$8:L292,1),"")</f>
        <v>274</v>
      </c>
      <c r="N292" s="57" t="str">
        <f>IFERROR(INDEX(Tabla1[NOMBRE COMPLETO],MATCH(ROWS($M$8:M292),$M$8:$M$404,0)),"")</f>
        <v/>
      </c>
    </row>
    <row r="293" spans="12:14" ht="15" customHeight="1" x14ac:dyDescent="0.25">
      <c r="L293" s="57">
        <f>--ISNUMBER(IFERROR(SEARCH($E$6,General!$I$87,1),""))</f>
        <v>1</v>
      </c>
      <c r="M293" s="57">
        <f>IF(L293=1,COUNTIF($L$8:L293,1),"")</f>
        <v>275</v>
      </c>
      <c r="N293" s="57" t="str">
        <f>IFERROR(INDEX(Tabla1[NOMBRE COMPLETO],MATCH(ROWS($M$8:M293),$M$8:$M$404,0)),"")</f>
        <v/>
      </c>
    </row>
    <row r="294" spans="12:14" ht="15" customHeight="1" x14ac:dyDescent="0.25">
      <c r="L294" s="57">
        <f>--ISNUMBER(IFERROR(SEARCH($E$6,General!$I$88,1),""))</f>
        <v>1</v>
      </c>
      <c r="M294" s="57">
        <f>IF(L294=1,COUNTIF($L$8:L294,1),"")</f>
        <v>276</v>
      </c>
      <c r="N294" s="57" t="str">
        <f>IFERROR(INDEX(Tabla1[NOMBRE COMPLETO],MATCH(ROWS($M$8:M294),$M$8:$M$404,0)),"")</f>
        <v/>
      </c>
    </row>
    <row r="295" spans="12:14" ht="15" customHeight="1" x14ac:dyDescent="0.25">
      <c r="L295" s="57">
        <f>--ISNUMBER(IFERROR(SEARCH($E$6,General!$I$89,1),""))</f>
        <v>1</v>
      </c>
      <c r="M295" s="57">
        <f>IF(L295=1,COUNTIF($L$8:L295,1),"")</f>
        <v>277</v>
      </c>
      <c r="N295" s="57" t="str">
        <f>IFERROR(INDEX(Tabla1[NOMBRE COMPLETO],MATCH(ROWS($M$8:M295),$M$8:$M$404,0)),"")</f>
        <v/>
      </c>
    </row>
    <row r="296" spans="12:14" ht="15" customHeight="1" x14ac:dyDescent="0.25">
      <c r="L296" s="57">
        <f>--ISNUMBER(IFERROR(SEARCH($E$6,General!$I$90,1),""))</f>
        <v>1</v>
      </c>
      <c r="M296" s="57">
        <f>IF(L296=1,COUNTIF($L$8:L296,1),"")</f>
        <v>278</v>
      </c>
      <c r="N296" s="57" t="str">
        <f>IFERROR(INDEX(Tabla1[NOMBRE COMPLETO],MATCH(ROWS($M$8:M296),$M$8:$M$404,0)),"")</f>
        <v/>
      </c>
    </row>
    <row r="297" spans="12:14" ht="15" customHeight="1" x14ac:dyDescent="0.25">
      <c r="L297" s="57">
        <f>--ISNUMBER(IFERROR(SEARCH($E$6,General!$I$91,1),""))</f>
        <v>1</v>
      </c>
      <c r="M297" s="57">
        <f>IF(L297=1,COUNTIF($L$8:L297,1),"")</f>
        <v>279</v>
      </c>
      <c r="N297" s="57" t="str">
        <f>IFERROR(INDEX(Tabla1[NOMBRE COMPLETO],MATCH(ROWS($M$8:M297),$M$8:$M$404,0)),"")</f>
        <v/>
      </c>
    </row>
    <row r="298" spans="12:14" ht="15" customHeight="1" x14ac:dyDescent="0.25">
      <c r="L298" s="57">
        <f>--ISNUMBER(IFERROR(SEARCH($E$6,General!$I$92,1),""))</f>
        <v>1</v>
      </c>
      <c r="M298" s="57">
        <f>IF(L298=1,COUNTIF($L$8:L298,1),"")</f>
        <v>280</v>
      </c>
      <c r="N298" s="57" t="str">
        <f>IFERROR(INDEX(Tabla1[NOMBRE COMPLETO],MATCH(ROWS($M$8:M298),$M$8:$M$404,0)),"")</f>
        <v/>
      </c>
    </row>
    <row r="299" spans="12:14" ht="15" customHeight="1" x14ac:dyDescent="0.25">
      <c r="L299" s="57">
        <f>--ISNUMBER(IFERROR(SEARCH($E$6,General!$I$93,1),""))</f>
        <v>1</v>
      </c>
      <c r="M299" s="57">
        <f>IF(L299=1,COUNTIF($L$8:L299,1),"")</f>
        <v>281</v>
      </c>
      <c r="N299" s="57" t="str">
        <f>IFERROR(INDEX(Tabla1[NOMBRE COMPLETO],MATCH(ROWS($M$8:M299),$M$8:$M$404,0)),"")</f>
        <v/>
      </c>
    </row>
    <row r="300" spans="12:14" ht="15" customHeight="1" x14ac:dyDescent="0.25">
      <c r="L300" s="57">
        <f>--ISNUMBER(IFERROR(SEARCH($E$6,General!$I$94,1),""))</f>
        <v>1</v>
      </c>
      <c r="M300" s="57">
        <f>IF(L300=1,COUNTIF($L$8:L300,1),"")</f>
        <v>282</v>
      </c>
      <c r="N300" s="57" t="str">
        <f>IFERROR(INDEX(Tabla1[NOMBRE COMPLETO],MATCH(ROWS($M$8:M300),$M$8:$M$404,0)),"")</f>
        <v/>
      </c>
    </row>
    <row r="301" spans="12:14" ht="15" customHeight="1" x14ac:dyDescent="0.25">
      <c r="L301" s="57">
        <f>--ISNUMBER(IFERROR(SEARCH($E$6,General!$I$95,1),""))</f>
        <v>1</v>
      </c>
      <c r="M301" s="57">
        <f>IF(L301=1,COUNTIF($L$8:L301,1),"")</f>
        <v>283</v>
      </c>
      <c r="N301" s="57" t="str">
        <f>IFERROR(INDEX(Tabla1[NOMBRE COMPLETO],MATCH(ROWS($M$8:M301),$M$8:$M$404,0)),"")</f>
        <v/>
      </c>
    </row>
    <row r="302" spans="12:14" ht="15" customHeight="1" x14ac:dyDescent="0.25">
      <c r="L302" s="57">
        <f>--ISNUMBER(IFERROR(SEARCH($E$6,General!$I$96,1),""))</f>
        <v>1</v>
      </c>
      <c r="M302" s="57">
        <f>IF(L302=1,COUNTIF($L$8:L302,1),"")</f>
        <v>284</v>
      </c>
      <c r="N302" s="57" t="str">
        <f>IFERROR(INDEX(Tabla1[NOMBRE COMPLETO],MATCH(ROWS($M$8:M302),$M$8:$M$404,0)),"")</f>
        <v/>
      </c>
    </row>
    <row r="303" spans="12:14" ht="15" customHeight="1" x14ac:dyDescent="0.25">
      <c r="L303" s="57">
        <f>--ISNUMBER(IFERROR(SEARCH($E$6,General!$I$97,1),""))</f>
        <v>1</v>
      </c>
      <c r="M303" s="57">
        <f>IF(L303=1,COUNTIF($L$8:L303,1),"")</f>
        <v>285</v>
      </c>
      <c r="N303" s="57" t="str">
        <f>IFERROR(INDEX(Tabla1[NOMBRE COMPLETO],MATCH(ROWS($M$8:M303),$M$8:$M$404,0)),"")</f>
        <v/>
      </c>
    </row>
    <row r="304" spans="12:14" ht="15" customHeight="1" x14ac:dyDescent="0.25">
      <c r="L304" s="57">
        <f>--ISNUMBER(IFERROR(SEARCH($E$6,General!$I$98,1),""))</f>
        <v>1</v>
      </c>
      <c r="M304" s="57">
        <f>IF(L304=1,COUNTIF($L$8:L304,1),"")</f>
        <v>286</v>
      </c>
      <c r="N304" s="57" t="str">
        <f>IFERROR(INDEX(Tabla1[NOMBRE COMPLETO],MATCH(ROWS($M$8:M304),$M$8:$M$404,0)),"")</f>
        <v/>
      </c>
    </row>
    <row r="305" spans="12:14" ht="15" customHeight="1" x14ac:dyDescent="0.25">
      <c r="L305" s="57">
        <f>--ISNUMBER(IFERROR(SEARCH($E$6,General!$I$99,1),""))</f>
        <v>1</v>
      </c>
      <c r="M305" s="57">
        <f>IF(L305=1,COUNTIF($L$8:L305,1),"")</f>
        <v>287</v>
      </c>
      <c r="N305" s="57" t="str">
        <f>IFERROR(INDEX(Tabla1[NOMBRE COMPLETO],MATCH(ROWS($M$8:M305),$M$8:$M$404,0)),"")</f>
        <v/>
      </c>
    </row>
    <row r="306" spans="12:14" ht="15" customHeight="1" x14ac:dyDescent="0.25">
      <c r="L306" s="57">
        <f>--ISNUMBER(IFERROR(SEARCH($E$6,General!$I$100,1),""))</f>
        <v>1</v>
      </c>
      <c r="M306" s="57">
        <f>IF(L306=1,COUNTIF($L$8:L306,1),"")</f>
        <v>288</v>
      </c>
      <c r="N306" s="57" t="str">
        <f>IFERROR(INDEX(Tabla1[NOMBRE COMPLETO],MATCH(ROWS($M$8:M306),$M$8:$M$404,0)),"")</f>
        <v/>
      </c>
    </row>
    <row r="307" spans="12:14" ht="15" customHeight="1" x14ac:dyDescent="0.25">
      <c r="L307" s="57">
        <f>--ISNUMBER(IFERROR(SEARCH($E$6,General!$I$101,1),""))</f>
        <v>1</v>
      </c>
      <c r="M307" s="57">
        <f>IF(L307=1,COUNTIF($L$8:L307,1),"")</f>
        <v>289</v>
      </c>
      <c r="N307" s="57" t="str">
        <f>IFERROR(INDEX(Tabla1[NOMBRE COMPLETO],MATCH(ROWS($M$8:M307),$M$8:$M$404,0)),"")</f>
        <v/>
      </c>
    </row>
    <row r="308" spans="12:14" ht="15" customHeight="1" x14ac:dyDescent="0.25">
      <c r="L308" s="57">
        <f>--ISNUMBER(IFERROR(SEARCH($E$6,General!$I$2,1),""))</f>
        <v>1</v>
      </c>
      <c r="M308" s="57">
        <f>IF(L308=1,COUNTIF($L$8:L308,1),"")</f>
        <v>290</v>
      </c>
      <c r="N308" s="57" t="str">
        <f>IFERROR(INDEX(Tabla1[NOMBRE COMPLETO],MATCH(ROWS($M$8:M308),$M$8:$M$404,0)),"")</f>
        <v/>
      </c>
    </row>
    <row r="309" spans="12:14" ht="15" customHeight="1" x14ac:dyDescent="0.25">
      <c r="L309" s="57">
        <f>--ISNUMBER(IFERROR(SEARCH($E$6,General!$I$3,1),""))</f>
        <v>1</v>
      </c>
      <c r="M309" s="57">
        <f>IF(L309=1,COUNTIF($L$8:L309,1),"")</f>
        <v>291</v>
      </c>
      <c r="N309" s="57" t="str">
        <f>IFERROR(INDEX(Tabla1[NOMBRE COMPLETO],MATCH(ROWS($M$8:M309),$M$8:$M$404,0)),"")</f>
        <v/>
      </c>
    </row>
    <row r="310" spans="12:14" ht="15" customHeight="1" x14ac:dyDescent="0.25">
      <c r="L310" s="57">
        <f>--ISNUMBER(IFERROR(SEARCH($E$6,General!$I$4,1),""))</f>
        <v>1</v>
      </c>
      <c r="M310" s="57">
        <f>IF(L310=1,COUNTIF($L$8:L310,1),"")</f>
        <v>292</v>
      </c>
      <c r="N310" s="57" t="str">
        <f>IFERROR(INDEX(Tabla1[NOMBRE COMPLETO],MATCH(ROWS($M$8:M310),$M$8:$M$404,0)),"")</f>
        <v/>
      </c>
    </row>
    <row r="311" spans="12:14" ht="15" customHeight="1" x14ac:dyDescent="0.25">
      <c r="L311" s="57">
        <f>--ISNUMBER(IFERROR(SEARCH($E$6,General!$I$5,1),""))</f>
        <v>1</v>
      </c>
      <c r="M311" s="57">
        <f>IF(L311=1,COUNTIF($L$8:L311,1),"")</f>
        <v>293</v>
      </c>
      <c r="N311" s="57" t="str">
        <f>IFERROR(INDEX(Tabla1[NOMBRE COMPLETO],MATCH(ROWS($M$8:M311),$M$8:$M$404,0)),"")</f>
        <v/>
      </c>
    </row>
    <row r="312" spans="12:14" ht="15" customHeight="1" x14ac:dyDescent="0.25">
      <c r="L312" s="57">
        <f>--ISNUMBER(IFERROR(SEARCH($E$6,General!$I$6,1),""))</f>
        <v>1</v>
      </c>
      <c r="M312" s="57">
        <f>IF(L312=1,COUNTIF($L$8:L312,1),"")</f>
        <v>294</v>
      </c>
      <c r="N312" s="57" t="str">
        <f>IFERROR(INDEX(Tabla1[NOMBRE COMPLETO],MATCH(ROWS($M$8:M312),$M$8:$M$404,0)),"")</f>
        <v/>
      </c>
    </row>
    <row r="313" spans="12:14" ht="15" customHeight="1" x14ac:dyDescent="0.25">
      <c r="L313" s="57">
        <f>--ISNUMBER(IFERROR(SEARCH($E$6,General!$I$7,1),""))</f>
        <v>1</v>
      </c>
      <c r="M313" s="57">
        <f>IF(L313=1,COUNTIF($L$8:L313,1),"")</f>
        <v>295</v>
      </c>
      <c r="N313" s="57" t="str">
        <f>IFERROR(INDEX(Tabla1[NOMBRE COMPLETO],MATCH(ROWS($M$8:M313),$M$8:$M$404,0)),"")</f>
        <v/>
      </c>
    </row>
    <row r="314" spans="12:14" ht="15" customHeight="1" x14ac:dyDescent="0.25">
      <c r="L314" s="57">
        <f>--ISNUMBER(IFERROR(SEARCH($E$6,General!$I$8,1),""))</f>
        <v>1</v>
      </c>
      <c r="M314" s="57">
        <f>IF(L314=1,COUNTIF($L$8:L314,1),"")</f>
        <v>296</v>
      </c>
      <c r="N314" s="57" t="str">
        <f>IFERROR(INDEX(Tabla1[NOMBRE COMPLETO],MATCH(ROWS($M$8:M314),$M$8:$M$404,0)),"")</f>
        <v/>
      </c>
    </row>
    <row r="315" spans="12:14" ht="15" customHeight="1" x14ac:dyDescent="0.25">
      <c r="L315" s="57">
        <f>--ISNUMBER(IFERROR(SEARCH($E$6,General!$I$9,1),""))</f>
        <v>1</v>
      </c>
      <c r="M315" s="57">
        <f>IF(L315=1,COUNTIF($L$8:L315,1),"")</f>
        <v>297</v>
      </c>
      <c r="N315" s="57" t="str">
        <f>IFERROR(INDEX(Tabla1[NOMBRE COMPLETO],MATCH(ROWS($M$8:M315),$M$8:$M$404,0)),"")</f>
        <v/>
      </c>
    </row>
    <row r="316" spans="12:14" ht="15" customHeight="1" x14ac:dyDescent="0.25">
      <c r="L316" s="57">
        <f>--ISNUMBER(IFERROR(SEARCH($E$6,General!$I$10,1),""))</f>
        <v>1</v>
      </c>
      <c r="M316" s="57">
        <f>IF(L316=1,COUNTIF($L$8:L316,1),"")</f>
        <v>298</v>
      </c>
      <c r="N316" s="57" t="str">
        <f>IFERROR(INDEX(Tabla1[NOMBRE COMPLETO],MATCH(ROWS($M$8:M316),$M$8:$M$404,0)),"")</f>
        <v/>
      </c>
    </row>
    <row r="317" spans="12:14" ht="15" customHeight="1" x14ac:dyDescent="0.25">
      <c r="L317" s="57">
        <f>--ISNUMBER(IFERROR(SEARCH($E$6,General!$I$11,1),""))</f>
        <v>1</v>
      </c>
      <c r="M317" s="57">
        <f>IF(L317=1,COUNTIF($L$8:L317,1),"")</f>
        <v>299</v>
      </c>
      <c r="N317" s="57" t="str">
        <f>IFERROR(INDEX(Tabla1[NOMBRE COMPLETO],MATCH(ROWS($M$8:M317),$M$8:$M$404,0)),"")</f>
        <v/>
      </c>
    </row>
    <row r="318" spans="12:14" ht="15" customHeight="1" x14ac:dyDescent="0.25">
      <c r="L318" s="57">
        <f>--ISNUMBER(IFERROR(SEARCH($E$6,General!$I$12,1),""))</f>
        <v>1</v>
      </c>
      <c r="M318" s="57">
        <f>IF(L318=1,COUNTIF($L$8:L318,1),"")</f>
        <v>300</v>
      </c>
      <c r="N318" s="57" t="str">
        <f>IFERROR(INDEX(Tabla1[NOMBRE COMPLETO],MATCH(ROWS($M$8:M318),$M$8:$M$404,0)),"")</f>
        <v/>
      </c>
    </row>
    <row r="319" spans="12:14" ht="15" customHeight="1" x14ac:dyDescent="0.25">
      <c r="L319" s="57">
        <f>--ISNUMBER(IFERROR(SEARCH($E$6,General!$I$13,1),""))</f>
        <v>1</v>
      </c>
      <c r="M319" s="57">
        <f>IF(L319=1,COUNTIF($L$8:L319,1),"")</f>
        <v>301</v>
      </c>
      <c r="N319" s="57" t="str">
        <f>IFERROR(INDEX(Tabla1[NOMBRE COMPLETO],MATCH(ROWS($M$8:M319),$M$8:$M$404,0)),"")</f>
        <v/>
      </c>
    </row>
    <row r="320" spans="12:14" ht="15" customHeight="1" x14ac:dyDescent="0.25">
      <c r="L320" s="57">
        <f>--ISNUMBER(IFERROR(SEARCH($E$6,General!$I$14,1),""))</f>
        <v>1</v>
      </c>
      <c r="M320" s="57">
        <f>IF(L320=1,COUNTIF($L$8:L320,1),"")</f>
        <v>302</v>
      </c>
      <c r="N320" s="57" t="str">
        <f>IFERROR(INDEX(Tabla1[NOMBRE COMPLETO],MATCH(ROWS($M$8:M320),$M$8:$M$404,0)),"")</f>
        <v/>
      </c>
    </row>
    <row r="321" spans="12:14" ht="15" customHeight="1" x14ac:dyDescent="0.25">
      <c r="L321" s="57">
        <f>--ISNUMBER(IFERROR(SEARCH($E$6,General!$I$15,1),""))</f>
        <v>1</v>
      </c>
      <c r="M321" s="57">
        <f>IF(L321=1,COUNTIF($L$8:L321,1),"")</f>
        <v>303</v>
      </c>
      <c r="N321" s="57" t="str">
        <f>IFERROR(INDEX(Tabla1[NOMBRE COMPLETO],MATCH(ROWS($M$8:M321),$M$8:$M$404,0)),"")</f>
        <v/>
      </c>
    </row>
    <row r="322" spans="12:14" ht="15" customHeight="1" x14ac:dyDescent="0.25">
      <c r="L322" s="57">
        <f>--ISNUMBER(IFERROR(SEARCH($E$6,General!$I$16,1),""))</f>
        <v>1</v>
      </c>
      <c r="M322" s="57">
        <f>IF(L322=1,COUNTIF($L$8:L322,1),"")</f>
        <v>304</v>
      </c>
      <c r="N322" s="57" t="str">
        <f>IFERROR(INDEX(Tabla1[NOMBRE COMPLETO],MATCH(ROWS($M$8:M322),$M$8:$M$404,0)),"")</f>
        <v/>
      </c>
    </row>
    <row r="323" spans="12:14" ht="15" customHeight="1" x14ac:dyDescent="0.25">
      <c r="L323" s="57">
        <f>--ISNUMBER(IFERROR(SEARCH($E$6,General!$I$17,1),""))</f>
        <v>1</v>
      </c>
      <c r="M323" s="57">
        <f>IF(L323=1,COUNTIF($L$8:L323,1),"")</f>
        <v>305</v>
      </c>
      <c r="N323" s="57" t="str">
        <f>IFERROR(INDEX(Tabla1[NOMBRE COMPLETO],MATCH(ROWS($M$8:M323),$M$8:$M$404,0)),"")</f>
        <v/>
      </c>
    </row>
    <row r="324" spans="12:14" ht="15" customHeight="1" x14ac:dyDescent="0.25">
      <c r="L324" s="57">
        <f>--ISNUMBER(IFERROR(SEARCH($E$6,General!$I$18,1),""))</f>
        <v>1</v>
      </c>
      <c r="M324" s="57">
        <f>IF(L324=1,COUNTIF($L$8:L324,1),"")</f>
        <v>306</v>
      </c>
      <c r="N324" s="57" t="str">
        <f>IFERROR(INDEX(Tabla1[NOMBRE COMPLETO],MATCH(ROWS($M$8:M324),$M$8:$M$404,0)),"")</f>
        <v/>
      </c>
    </row>
    <row r="325" spans="12:14" ht="15" customHeight="1" x14ac:dyDescent="0.25">
      <c r="L325" s="57">
        <f>--ISNUMBER(IFERROR(SEARCH($E$6,General!$I$19,1),""))</f>
        <v>1</v>
      </c>
      <c r="M325" s="57">
        <f>IF(L325=1,COUNTIF($L$8:L325,1),"")</f>
        <v>307</v>
      </c>
      <c r="N325" s="57" t="str">
        <f>IFERROR(INDEX(Tabla1[NOMBRE COMPLETO],MATCH(ROWS($M$8:M325),$M$8:$M$404,0)),"")</f>
        <v/>
      </c>
    </row>
    <row r="326" spans="12:14" ht="15" customHeight="1" x14ac:dyDescent="0.25">
      <c r="L326" s="57">
        <f>--ISNUMBER(IFERROR(SEARCH($E$6,General!$I$20,1),""))</f>
        <v>1</v>
      </c>
      <c r="M326" s="57">
        <f>IF(L326=1,COUNTIF($L$8:L326,1),"")</f>
        <v>308</v>
      </c>
      <c r="N326" s="57" t="str">
        <f>IFERROR(INDEX(Tabla1[NOMBRE COMPLETO],MATCH(ROWS($M$8:M326),$M$8:$M$404,0)),"")</f>
        <v/>
      </c>
    </row>
    <row r="327" spans="12:14" ht="15" customHeight="1" x14ac:dyDescent="0.25">
      <c r="L327" s="57">
        <f>--ISNUMBER(IFERROR(SEARCH($E$6,General!$I$21,1),""))</f>
        <v>1</v>
      </c>
      <c r="M327" s="57">
        <f>IF(L327=1,COUNTIF($L$8:L327,1),"")</f>
        <v>309</v>
      </c>
      <c r="N327" s="57" t="str">
        <f>IFERROR(INDEX(Tabla1[NOMBRE COMPLETO],MATCH(ROWS($M$8:M327),$M$8:$M$404,0)),"")</f>
        <v/>
      </c>
    </row>
    <row r="328" spans="12:14" ht="15" customHeight="1" x14ac:dyDescent="0.25">
      <c r="L328" s="57">
        <f>--ISNUMBER(IFERROR(SEARCH($E$6,General!$I$22,1),""))</f>
        <v>1</v>
      </c>
      <c r="M328" s="57">
        <f>IF(L328=1,COUNTIF($L$8:L328,1),"")</f>
        <v>310</v>
      </c>
      <c r="N328" s="57" t="str">
        <f>IFERROR(INDEX(Tabla1[NOMBRE COMPLETO],MATCH(ROWS($M$8:M328),$M$8:$M$404,0)),"")</f>
        <v/>
      </c>
    </row>
    <row r="329" spans="12:14" ht="15" customHeight="1" x14ac:dyDescent="0.25">
      <c r="L329" s="57">
        <f>--ISNUMBER(IFERROR(SEARCH($E$6,General!$I$23,1),""))</f>
        <v>1</v>
      </c>
      <c r="M329" s="57">
        <f>IF(L329=1,COUNTIF($L$8:L329,1),"")</f>
        <v>311</v>
      </c>
      <c r="N329" s="57" t="str">
        <f>IFERROR(INDEX(Tabla1[NOMBRE COMPLETO],MATCH(ROWS($M$8:M329),$M$8:$M$404,0)),"")</f>
        <v/>
      </c>
    </row>
    <row r="330" spans="12:14" ht="15" customHeight="1" x14ac:dyDescent="0.25">
      <c r="L330" s="57">
        <f>--ISNUMBER(IFERROR(SEARCH($E$6,General!$I$24,1),""))</f>
        <v>1</v>
      </c>
      <c r="M330" s="57">
        <f>IF(L330=1,COUNTIF($L$8:L330,1),"")</f>
        <v>312</v>
      </c>
      <c r="N330" s="57" t="str">
        <f>IFERROR(INDEX(Tabla1[NOMBRE COMPLETO],MATCH(ROWS($M$8:M330),$M$8:$M$404,0)),"")</f>
        <v/>
      </c>
    </row>
    <row r="331" spans="12:14" ht="15" customHeight="1" x14ac:dyDescent="0.25">
      <c r="L331" s="57">
        <f>--ISNUMBER(IFERROR(SEARCH($E$6,General!$I$25,1),""))</f>
        <v>1</v>
      </c>
      <c r="M331" s="57">
        <f>IF(L331=1,COUNTIF($L$8:L331,1),"")</f>
        <v>313</v>
      </c>
      <c r="N331" s="57" t="str">
        <f>IFERROR(INDEX(Tabla1[NOMBRE COMPLETO],MATCH(ROWS($M$8:M331),$M$8:$M$404,0)),"")</f>
        <v/>
      </c>
    </row>
    <row r="332" spans="12:14" ht="15" customHeight="1" x14ac:dyDescent="0.25">
      <c r="L332" s="57">
        <f>--ISNUMBER(IFERROR(SEARCH($E$6,General!$I$26,1),""))</f>
        <v>1</v>
      </c>
      <c r="M332" s="57">
        <f>IF(L332=1,COUNTIF($L$8:L332,1),"")</f>
        <v>314</v>
      </c>
      <c r="N332" s="57" t="str">
        <f>IFERROR(INDEX(Tabla1[NOMBRE COMPLETO],MATCH(ROWS($M$8:M332),$M$8:$M$404,0)),"")</f>
        <v/>
      </c>
    </row>
    <row r="333" spans="12:14" ht="15" customHeight="1" x14ac:dyDescent="0.25">
      <c r="L333" s="57">
        <f>--ISNUMBER(IFERROR(SEARCH($E$6,General!$I$27,1),""))</f>
        <v>1</v>
      </c>
      <c r="M333" s="57">
        <f>IF(L333=1,COUNTIF($L$8:L333,1),"")</f>
        <v>315</v>
      </c>
      <c r="N333" s="57" t="str">
        <f>IFERROR(INDEX(Tabla1[NOMBRE COMPLETO],MATCH(ROWS($M$8:M333),$M$8:$M$404,0)),"")</f>
        <v/>
      </c>
    </row>
    <row r="334" spans="12:14" ht="15" customHeight="1" x14ac:dyDescent="0.25">
      <c r="L334" s="57">
        <f>--ISNUMBER(IFERROR(SEARCH($E$6,General!$I$28,1),""))</f>
        <v>1</v>
      </c>
      <c r="M334" s="57">
        <f>IF(L334=1,COUNTIF($L$8:L334,1),"")</f>
        <v>316</v>
      </c>
      <c r="N334" s="57" t="str">
        <f>IFERROR(INDEX(Tabla1[NOMBRE COMPLETO],MATCH(ROWS($M$8:M334),$M$8:$M$404,0)),"")</f>
        <v/>
      </c>
    </row>
    <row r="335" spans="12:14" ht="15" customHeight="1" x14ac:dyDescent="0.25">
      <c r="L335" s="57">
        <f>--ISNUMBER(IFERROR(SEARCH($E$6,General!$I$29,1),""))</f>
        <v>1</v>
      </c>
      <c r="M335" s="57">
        <f>IF(L335=1,COUNTIF($L$8:L335,1),"")</f>
        <v>317</v>
      </c>
      <c r="N335" s="57" t="str">
        <f>IFERROR(INDEX(Tabla1[NOMBRE COMPLETO],MATCH(ROWS($M$8:M335),$M$8:$M$404,0)),"")</f>
        <v/>
      </c>
    </row>
    <row r="336" spans="12:14" ht="15" customHeight="1" x14ac:dyDescent="0.25">
      <c r="L336" s="57">
        <f>--ISNUMBER(IFERROR(SEARCH($E$6,General!$I$30,1),""))</f>
        <v>1</v>
      </c>
      <c r="M336" s="57">
        <f>IF(L336=1,COUNTIF($L$8:L336,1),"")</f>
        <v>318</v>
      </c>
      <c r="N336" s="57" t="str">
        <f>IFERROR(INDEX(Tabla1[NOMBRE COMPLETO],MATCH(ROWS($M$8:M336),$M$8:$M$404,0)),"")</f>
        <v/>
      </c>
    </row>
    <row r="337" spans="12:14" ht="15" customHeight="1" x14ac:dyDescent="0.25">
      <c r="L337" s="57">
        <f>--ISNUMBER(IFERROR(SEARCH($E$6,General!$I$31,1),""))</f>
        <v>1</v>
      </c>
      <c r="M337" s="57">
        <f>IF(L337=1,COUNTIF($L$8:L337,1),"")</f>
        <v>319</v>
      </c>
      <c r="N337" s="57" t="str">
        <f>IFERROR(INDEX(Tabla1[NOMBRE COMPLETO],MATCH(ROWS($M$8:M337),$M$8:$M$404,0)),"")</f>
        <v/>
      </c>
    </row>
    <row r="338" spans="12:14" ht="15" customHeight="1" x14ac:dyDescent="0.25">
      <c r="L338" s="57">
        <f>--ISNUMBER(IFERROR(SEARCH($E$6,General!$I$32,1),""))</f>
        <v>1</v>
      </c>
      <c r="M338" s="57">
        <f>IF(L338=1,COUNTIF($L$8:L338,1),"")</f>
        <v>320</v>
      </c>
      <c r="N338" s="57" t="str">
        <f>IFERROR(INDEX(Tabla1[NOMBRE COMPLETO],MATCH(ROWS($M$8:M338),$M$8:$M$404,0)),"")</f>
        <v/>
      </c>
    </row>
    <row r="339" spans="12:14" ht="15" customHeight="1" x14ac:dyDescent="0.25">
      <c r="L339" s="57">
        <f>--ISNUMBER(IFERROR(SEARCH($E$6,General!$I$33,1),""))</f>
        <v>1</v>
      </c>
      <c r="M339" s="57">
        <f>IF(L339=1,COUNTIF($L$8:L339,1),"")</f>
        <v>321</v>
      </c>
      <c r="N339" s="57" t="str">
        <f>IFERROR(INDEX(Tabla1[NOMBRE COMPLETO],MATCH(ROWS($M$8:M339),$M$8:$M$404,0)),"")</f>
        <v/>
      </c>
    </row>
    <row r="340" spans="12:14" ht="15" customHeight="1" x14ac:dyDescent="0.25">
      <c r="L340" s="57">
        <f>--ISNUMBER(IFERROR(SEARCH($E$6,General!$I$34,1),""))</f>
        <v>1</v>
      </c>
      <c r="M340" s="57">
        <f>IF(L340=1,COUNTIF($L$8:L340,1),"")</f>
        <v>322</v>
      </c>
      <c r="N340" s="57" t="str">
        <f>IFERROR(INDEX(Tabla1[NOMBRE COMPLETO],MATCH(ROWS($M$8:M340),$M$8:$M$404,0)),"")</f>
        <v/>
      </c>
    </row>
    <row r="341" spans="12:14" ht="15" customHeight="1" x14ac:dyDescent="0.25">
      <c r="L341" s="57">
        <f>--ISNUMBER(IFERROR(SEARCH($E$6,General!$I$35,1),""))</f>
        <v>1</v>
      </c>
      <c r="M341" s="57">
        <f>IF(L341=1,COUNTIF($L$8:L341,1),"")</f>
        <v>323</v>
      </c>
      <c r="N341" s="57" t="str">
        <f>IFERROR(INDEX(Tabla1[NOMBRE COMPLETO],MATCH(ROWS($M$8:M341),$M$8:$M$404,0)),"")</f>
        <v/>
      </c>
    </row>
    <row r="342" spans="12:14" ht="15" customHeight="1" x14ac:dyDescent="0.25">
      <c r="L342" s="57">
        <f>--ISNUMBER(IFERROR(SEARCH($E$6,General!$I$36,1),""))</f>
        <v>1</v>
      </c>
      <c r="M342" s="57">
        <f>IF(L342=1,COUNTIF($L$8:L342,1),"")</f>
        <v>324</v>
      </c>
      <c r="N342" s="57" t="str">
        <f>IFERROR(INDEX(Tabla1[NOMBRE COMPLETO],MATCH(ROWS($M$8:M342),$M$8:$M$404,0)),"")</f>
        <v/>
      </c>
    </row>
    <row r="343" spans="12:14" ht="15" customHeight="1" x14ac:dyDescent="0.25">
      <c r="L343" s="57">
        <f>--ISNUMBER(IFERROR(SEARCH($E$6,General!$I$37,1),""))</f>
        <v>1</v>
      </c>
      <c r="M343" s="57">
        <f>IF(L343=1,COUNTIF($L$8:L343,1),"")</f>
        <v>325</v>
      </c>
      <c r="N343" s="57" t="str">
        <f>IFERROR(INDEX(Tabla1[NOMBRE COMPLETO],MATCH(ROWS($M$8:M343),$M$8:$M$404,0)),"")</f>
        <v/>
      </c>
    </row>
    <row r="344" spans="12:14" ht="15" customHeight="1" x14ac:dyDescent="0.25">
      <c r="L344" s="57">
        <f>--ISNUMBER(IFERROR(SEARCH($E$6,General!$I$38,1),""))</f>
        <v>1</v>
      </c>
      <c r="M344" s="57">
        <f>IF(L344=1,COUNTIF($L$8:L344,1),"")</f>
        <v>326</v>
      </c>
      <c r="N344" s="57" t="str">
        <f>IFERROR(INDEX(Tabla1[NOMBRE COMPLETO],MATCH(ROWS($M$8:M344),$M$8:$M$404,0)),"")</f>
        <v/>
      </c>
    </row>
    <row r="345" spans="12:14" ht="15" customHeight="1" x14ac:dyDescent="0.25">
      <c r="L345" s="57">
        <f>--ISNUMBER(IFERROR(SEARCH($E$6,General!$I$39,1),""))</f>
        <v>1</v>
      </c>
      <c r="M345" s="57">
        <f>IF(L345=1,COUNTIF($L$8:L345,1),"")</f>
        <v>327</v>
      </c>
      <c r="N345" s="57" t="str">
        <f>IFERROR(INDEX(Tabla1[NOMBRE COMPLETO],MATCH(ROWS($M$8:M345),$M$8:$M$404,0)),"")</f>
        <v/>
      </c>
    </row>
    <row r="346" spans="12:14" ht="15" customHeight="1" x14ac:dyDescent="0.25">
      <c r="L346" s="57">
        <f>--ISNUMBER(IFERROR(SEARCH($E$6,General!$I$40,1),""))</f>
        <v>1</v>
      </c>
      <c r="M346" s="57">
        <f>IF(L346=1,COUNTIF($L$8:L346,1),"")</f>
        <v>328</v>
      </c>
      <c r="N346" s="57" t="str">
        <f>IFERROR(INDEX(Tabla1[NOMBRE COMPLETO],MATCH(ROWS($M$8:M346),$M$8:$M$404,0)),"")</f>
        <v/>
      </c>
    </row>
    <row r="347" spans="12:14" ht="15" customHeight="1" x14ac:dyDescent="0.25">
      <c r="L347" s="57">
        <f>--ISNUMBER(IFERROR(SEARCH($E$6,General!$I$41,1),""))</f>
        <v>1</v>
      </c>
      <c r="M347" s="57">
        <f>IF(L347=1,COUNTIF($L$8:L347,1),"")</f>
        <v>329</v>
      </c>
      <c r="N347" s="57" t="str">
        <f>IFERROR(INDEX(Tabla1[NOMBRE COMPLETO],MATCH(ROWS($M$8:M347),$M$8:$M$404,0)),"")</f>
        <v/>
      </c>
    </row>
    <row r="348" spans="12:14" ht="15" customHeight="1" x14ac:dyDescent="0.25">
      <c r="L348" s="57">
        <f>--ISNUMBER(IFERROR(SEARCH($E$6,General!$I$42,1),""))</f>
        <v>1</v>
      </c>
      <c r="M348" s="57">
        <f>IF(L348=1,COUNTIF($L$8:L348,1),"")</f>
        <v>330</v>
      </c>
      <c r="N348" s="57" t="str">
        <f>IFERROR(INDEX(Tabla1[NOMBRE COMPLETO],MATCH(ROWS($M$8:M348),$M$8:$M$404,0)),"")</f>
        <v/>
      </c>
    </row>
    <row r="349" spans="12:14" ht="15" customHeight="1" x14ac:dyDescent="0.25">
      <c r="L349" s="57">
        <f>--ISNUMBER(IFERROR(SEARCH($E$6,General!$I$43,1),""))</f>
        <v>1</v>
      </c>
      <c r="M349" s="57">
        <f>IF(L349=1,COUNTIF($L$8:L349,1),"")</f>
        <v>331</v>
      </c>
      <c r="N349" s="57" t="str">
        <f>IFERROR(INDEX(Tabla1[NOMBRE COMPLETO],MATCH(ROWS($M$8:M349),$M$8:$M$404,0)),"")</f>
        <v/>
      </c>
    </row>
    <row r="350" spans="12:14" ht="15" customHeight="1" x14ac:dyDescent="0.25">
      <c r="L350" s="57">
        <f>--ISNUMBER(IFERROR(SEARCH($E$6,General!$I$44,1),""))</f>
        <v>1</v>
      </c>
      <c r="M350" s="57">
        <f>IF(L350=1,COUNTIF($L$8:L350,1),"")</f>
        <v>332</v>
      </c>
      <c r="N350" s="57" t="str">
        <f>IFERROR(INDEX(Tabla1[NOMBRE COMPLETO],MATCH(ROWS($M$8:M350),$M$8:$M$404,0)),"")</f>
        <v/>
      </c>
    </row>
    <row r="351" spans="12:14" ht="15" customHeight="1" x14ac:dyDescent="0.25">
      <c r="L351" s="57">
        <f>--ISNUMBER(IFERROR(SEARCH($E$6,General!$I$45,1),""))</f>
        <v>1</v>
      </c>
      <c r="M351" s="57">
        <f>IF(L351=1,COUNTIF($L$8:L351,1),"")</f>
        <v>333</v>
      </c>
      <c r="N351" s="57" t="str">
        <f>IFERROR(INDEX(Tabla1[NOMBRE COMPLETO],MATCH(ROWS($M$8:M351),$M$8:$M$404,0)),"")</f>
        <v/>
      </c>
    </row>
    <row r="352" spans="12:14" ht="15" customHeight="1" x14ac:dyDescent="0.25">
      <c r="L352" s="57">
        <f>--ISNUMBER(IFERROR(SEARCH($E$6,General!$I$46,1),""))</f>
        <v>1</v>
      </c>
      <c r="M352" s="57">
        <f>IF(L352=1,COUNTIF($L$8:L352,1),"")</f>
        <v>334</v>
      </c>
      <c r="N352" s="57" t="str">
        <f>IFERROR(INDEX(Tabla1[NOMBRE COMPLETO],MATCH(ROWS($M$8:M352),$M$8:$M$404,0)),"")</f>
        <v/>
      </c>
    </row>
    <row r="353" spans="12:14" ht="15" customHeight="1" x14ac:dyDescent="0.25">
      <c r="L353" s="57">
        <f>--ISNUMBER(IFERROR(SEARCH($E$6,General!$I$47,1),""))</f>
        <v>1</v>
      </c>
      <c r="M353" s="57">
        <f>IF(L353=1,COUNTIF($L$8:L353,1),"")</f>
        <v>335</v>
      </c>
      <c r="N353" s="57" t="str">
        <f>IFERROR(INDEX(Tabla1[NOMBRE COMPLETO],MATCH(ROWS($M$8:M353),$M$8:$M$404,0)),"")</f>
        <v/>
      </c>
    </row>
    <row r="354" spans="12:14" ht="15" customHeight="1" x14ac:dyDescent="0.25">
      <c r="L354" s="57">
        <f>--ISNUMBER(IFERROR(SEARCH($E$6,General!$I$48,1),""))</f>
        <v>1</v>
      </c>
      <c r="M354" s="57">
        <f>IF(L354=1,COUNTIF($L$8:L354,1),"")</f>
        <v>336</v>
      </c>
      <c r="N354" s="57" t="str">
        <f>IFERROR(INDEX(Tabla1[NOMBRE COMPLETO],MATCH(ROWS($M$8:M354),$M$8:$M$404,0)),"")</f>
        <v/>
      </c>
    </row>
    <row r="355" spans="12:14" ht="15" customHeight="1" x14ac:dyDescent="0.25">
      <c r="L355" s="57">
        <f>--ISNUMBER(IFERROR(SEARCH($E$6,General!$I$49,1),""))</f>
        <v>1</v>
      </c>
      <c r="M355" s="57">
        <f>IF(L355=1,COUNTIF($L$8:L355,1),"")</f>
        <v>337</v>
      </c>
      <c r="N355" s="57" t="str">
        <f>IFERROR(INDEX(Tabla1[NOMBRE COMPLETO],MATCH(ROWS($M$8:M355),$M$8:$M$404,0)),"")</f>
        <v/>
      </c>
    </row>
    <row r="356" spans="12:14" ht="15" customHeight="1" x14ac:dyDescent="0.25">
      <c r="L356" s="57">
        <f>--ISNUMBER(IFERROR(SEARCH($E$6,General!$I$50,1),""))</f>
        <v>1</v>
      </c>
      <c r="M356" s="57">
        <f>IF(L356=1,COUNTIF($L$8:L356,1),"")</f>
        <v>338</v>
      </c>
      <c r="N356" s="57" t="str">
        <f>IFERROR(INDEX(Tabla1[NOMBRE COMPLETO],MATCH(ROWS($M$8:M356),$M$8:$M$404,0)),"")</f>
        <v/>
      </c>
    </row>
    <row r="357" spans="12:14" ht="15" customHeight="1" x14ac:dyDescent="0.25">
      <c r="L357" s="57">
        <f>--ISNUMBER(IFERROR(SEARCH($E$6,General!$I$51,1),""))</f>
        <v>1</v>
      </c>
      <c r="M357" s="57">
        <f>IF(L357=1,COUNTIF($L$8:L357,1),"")</f>
        <v>339</v>
      </c>
      <c r="N357" s="57" t="str">
        <f>IFERROR(INDEX(Tabla1[NOMBRE COMPLETO],MATCH(ROWS($M$8:M357),$M$8:$M$404,0)),"")</f>
        <v/>
      </c>
    </row>
    <row r="358" spans="12:14" ht="15" customHeight="1" x14ac:dyDescent="0.25">
      <c r="L358" s="57">
        <f>--ISNUMBER(IFERROR(SEARCH($E$6,General!$I$52,1),""))</f>
        <v>1</v>
      </c>
      <c r="M358" s="57">
        <f>IF(L358=1,COUNTIF($L$8:L358,1),"")</f>
        <v>340</v>
      </c>
      <c r="N358" s="57" t="str">
        <f>IFERROR(INDEX(Tabla1[NOMBRE COMPLETO],MATCH(ROWS($M$8:M358),$M$8:$M$404,0)),"")</f>
        <v/>
      </c>
    </row>
    <row r="359" spans="12:14" ht="15" customHeight="1" x14ac:dyDescent="0.25">
      <c r="L359" s="57">
        <f>--ISNUMBER(IFERROR(SEARCH($E$6,General!$I$53,1),""))</f>
        <v>1</v>
      </c>
      <c r="M359" s="57">
        <f>IF(L359=1,COUNTIF($L$8:L359,1),"")</f>
        <v>341</v>
      </c>
      <c r="N359" s="57" t="str">
        <f>IFERROR(INDEX(Tabla1[NOMBRE COMPLETO],MATCH(ROWS($M$8:M359),$M$8:$M$404,0)),"")</f>
        <v/>
      </c>
    </row>
    <row r="360" spans="12:14" ht="15" customHeight="1" x14ac:dyDescent="0.25">
      <c r="L360" s="57">
        <f>--ISNUMBER(IFERROR(SEARCH($E$6,General!$I$54,1),""))</f>
        <v>1</v>
      </c>
      <c r="M360" s="57">
        <f>IF(L360=1,COUNTIF($L$8:L360,1),"")</f>
        <v>342</v>
      </c>
      <c r="N360" s="57" t="str">
        <f>IFERROR(INDEX(Tabla1[NOMBRE COMPLETO],MATCH(ROWS($M$8:M360),$M$8:$M$404,0)),"")</f>
        <v/>
      </c>
    </row>
    <row r="361" spans="12:14" ht="15" customHeight="1" x14ac:dyDescent="0.25">
      <c r="L361" s="57">
        <f>--ISNUMBER(IFERROR(SEARCH($E$6,General!$I$55,1),""))</f>
        <v>1</v>
      </c>
      <c r="M361" s="57">
        <f>IF(L361=1,COUNTIF($L$8:L361,1),"")</f>
        <v>343</v>
      </c>
      <c r="N361" s="57" t="str">
        <f>IFERROR(INDEX(Tabla1[NOMBRE COMPLETO],MATCH(ROWS($M$8:M361),$M$8:$M$404,0)),"")</f>
        <v/>
      </c>
    </row>
    <row r="362" spans="12:14" ht="15" customHeight="1" x14ac:dyDescent="0.25">
      <c r="L362" s="57">
        <f>--ISNUMBER(IFERROR(SEARCH($E$6,General!$I$56,1),""))</f>
        <v>1</v>
      </c>
      <c r="M362" s="57">
        <f>IF(L362=1,COUNTIF($L$8:L362,1),"")</f>
        <v>344</v>
      </c>
      <c r="N362" s="57" t="str">
        <f>IFERROR(INDEX(Tabla1[NOMBRE COMPLETO],MATCH(ROWS($M$8:M362),$M$8:$M$404,0)),"")</f>
        <v/>
      </c>
    </row>
    <row r="363" spans="12:14" ht="15" customHeight="1" x14ac:dyDescent="0.25">
      <c r="L363" s="57">
        <f>--ISNUMBER(IFERROR(SEARCH($E$6,General!$I$57,1),""))</f>
        <v>1</v>
      </c>
      <c r="M363" s="57">
        <f>IF(L363=1,COUNTIF($L$8:L363,1),"")</f>
        <v>345</v>
      </c>
      <c r="N363" s="57" t="str">
        <f>IFERROR(INDEX(Tabla1[NOMBRE COMPLETO],MATCH(ROWS($M$8:M363),$M$8:$M$404,0)),"")</f>
        <v/>
      </c>
    </row>
    <row r="364" spans="12:14" ht="15" customHeight="1" x14ac:dyDescent="0.25">
      <c r="L364" s="57">
        <f>--ISNUMBER(IFERROR(SEARCH($E$6,General!$I$58,1),""))</f>
        <v>1</v>
      </c>
      <c r="M364" s="57">
        <f>IF(L364=1,COUNTIF($L$8:L364,1),"")</f>
        <v>346</v>
      </c>
      <c r="N364" s="57" t="str">
        <f>IFERROR(INDEX(Tabla1[NOMBRE COMPLETO],MATCH(ROWS($M$8:M364),$M$8:$M$404,0)),"")</f>
        <v/>
      </c>
    </row>
    <row r="365" spans="12:14" ht="15" customHeight="1" x14ac:dyDescent="0.25">
      <c r="L365" s="57">
        <f>--ISNUMBER(IFERROR(SEARCH($E$6,General!$I$59,1),""))</f>
        <v>1</v>
      </c>
      <c r="M365" s="57">
        <f>IF(L365=1,COUNTIF($L$8:L365,1),"")</f>
        <v>347</v>
      </c>
      <c r="N365" s="57" t="str">
        <f>IFERROR(INDEX(Tabla1[NOMBRE COMPLETO],MATCH(ROWS($M$8:M365),$M$8:$M$404,0)),"")</f>
        <v/>
      </c>
    </row>
    <row r="366" spans="12:14" ht="15" customHeight="1" x14ac:dyDescent="0.25">
      <c r="L366" s="57">
        <f>--ISNUMBER(IFERROR(SEARCH($E$6,General!$I$60,1),""))</f>
        <v>1</v>
      </c>
      <c r="M366" s="57">
        <f>IF(L366=1,COUNTIF($L$8:L366,1),"")</f>
        <v>348</v>
      </c>
      <c r="N366" s="57" t="str">
        <f>IFERROR(INDEX(Tabla1[NOMBRE COMPLETO],MATCH(ROWS($M$8:M366),$M$8:$M$404,0)),"")</f>
        <v/>
      </c>
    </row>
    <row r="367" spans="12:14" ht="15" customHeight="1" x14ac:dyDescent="0.25">
      <c r="L367" s="57">
        <f>--ISNUMBER(IFERROR(SEARCH($E$6,General!$I$61,1),""))</f>
        <v>1</v>
      </c>
      <c r="M367" s="57">
        <f>IF(L367=1,COUNTIF($L$8:L367,1),"")</f>
        <v>349</v>
      </c>
      <c r="N367" s="57" t="str">
        <f>IFERROR(INDEX(Tabla1[NOMBRE COMPLETO],MATCH(ROWS($M$8:M367),$M$8:$M$404,0)),"")</f>
        <v/>
      </c>
    </row>
    <row r="368" spans="12:14" ht="15" customHeight="1" x14ac:dyDescent="0.25">
      <c r="L368" s="57">
        <f>--ISNUMBER(IFERROR(SEARCH($E$6,General!$I$62,1),""))</f>
        <v>1</v>
      </c>
      <c r="M368" s="57">
        <f>IF(L368=1,COUNTIF($L$8:L368,1),"")</f>
        <v>350</v>
      </c>
      <c r="N368" s="57" t="str">
        <f>IFERROR(INDEX(Tabla1[NOMBRE COMPLETO],MATCH(ROWS($M$8:M368),$M$8:$M$404,0)),"")</f>
        <v/>
      </c>
    </row>
    <row r="369" spans="12:14" ht="15" customHeight="1" x14ac:dyDescent="0.25">
      <c r="L369" s="57">
        <f>--ISNUMBER(IFERROR(SEARCH($E$6,General!$I$63,1),""))</f>
        <v>1</v>
      </c>
      <c r="M369" s="57">
        <f>IF(L369=1,COUNTIF($L$8:L369,1),"")</f>
        <v>351</v>
      </c>
      <c r="N369" s="57" t="str">
        <f>IFERROR(INDEX(Tabla1[NOMBRE COMPLETO],MATCH(ROWS($M$8:M369),$M$8:$M$404,0)),"")</f>
        <v/>
      </c>
    </row>
    <row r="370" spans="12:14" ht="15" customHeight="1" x14ac:dyDescent="0.25">
      <c r="L370" s="57">
        <f>--ISNUMBER(IFERROR(SEARCH($E$6,General!$I$64,1),""))</f>
        <v>1</v>
      </c>
      <c r="M370" s="57">
        <f>IF(L370=1,COUNTIF($L$8:L370,1),"")</f>
        <v>352</v>
      </c>
      <c r="N370" s="57" t="str">
        <f>IFERROR(INDEX(Tabla1[NOMBRE COMPLETO],MATCH(ROWS($M$8:M370),$M$8:$M$404,0)),"")</f>
        <v/>
      </c>
    </row>
    <row r="371" spans="12:14" ht="15" customHeight="1" x14ac:dyDescent="0.25">
      <c r="L371" s="57">
        <f>--ISNUMBER(IFERROR(SEARCH($E$6,General!$I$65,1),""))</f>
        <v>1</v>
      </c>
      <c r="M371" s="57">
        <f>IF(L371=1,COUNTIF($L$8:L371,1),"")</f>
        <v>353</v>
      </c>
      <c r="N371" s="57" t="str">
        <f>IFERROR(INDEX(Tabla1[NOMBRE COMPLETO],MATCH(ROWS($M$8:M371),$M$8:$M$404,0)),"")</f>
        <v/>
      </c>
    </row>
    <row r="372" spans="12:14" ht="15" customHeight="1" x14ac:dyDescent="0.25">
      <c r="L372" s="57">
        <f>--ISNUMBER(IFERROR(SEARCH($E$6,General!$I$66,1),""))</f>
        <v>1</v>
      </c>
      <c r="M372" s="57">
        <f>IF(L372=1,COUNTIF($L$8:L372,1),"")</f>
        <v>354</v>
      </c>
      <c r="N372" s="57" t="str">
        <f>IFERROR(INDEX(Tabla1[NOMBRE COMPLETO],MATCH(ROWS($M$8:M372),$M$8:$M$404,0)),"")</f>
        <v/>
      </c>
    </row>
    <row r="373" spans="12:14" ht="15" customHeight="1" x14ac:dyDescent="0.25">
      <c r="L373" s="57">
        <f>--ISNUMBER(IFERROR(SEARCH($E$6,General!$I$67,1),""))</f>
        <v>1</v>
      </c>
      <c r="M373" s="57">
        <f>IF(L373=1,COUNTIF($L$8:L373,1),"")</f>
        <v>355</v>
      </c>
      <c r="N373" s="57" t="str">
        <f>IFERROR(INDEX(Tabla1[NOMBRE COMPLETO],MATCH(ROWS($M$8:M373),$M$8:$M$404,0)),"")</f>
        <v/>
      </c>
    </row>
    <row r="374" spans="12:14" ht="15" customHeight="1" x14ac:dyDescent="0.25">
      <c r="L374" s="57">
        <f>--ISNUMBER(IFERROR(SEARCH($E$6,General!$I$68,1),""))</f>
        <v>1</v>
      </c>
      <c r="M374" s="57">
        <f>IF(L374=1,COUNTIF($L$8:L374,1),"")</f>
        <v>356</v>
      </c>
      <c r="N374" s="57" t="str">
        <f>IFERROR(INDEX(Tabla1[NOMBRE COMPLETO],MATCH(ROWS($M$8:M374),$M$8:$M$404,0)),"")</f>
        <v/>
      </c>
    </row>
    <row r="375" spans="12:14" ht="15" customHeight="1" x14ac:dyDescent="0.25">
      <c r="L375" s="57">
        <f>--ISNUMBER(IFERROR(SEARCH($E$6,General!$I$69,1),""))</f>
        <v>1</v>
      </c>
      <c r="M375" s="57">
        <f>IF(L375=1,COUNTIF($L$8:L375,1),"")</f>
        <v>357</v>
      </c>
      <c r="N375" s="57" t="str">
        <f>IFERROR(INDEX(Tabla1[NOMBRE COMPLETO],MATCH(ROWS($M$8:M375),$M$8:$M$404,0)),"")</f>
        <v/>
      </c>
    </row>
    <row r="376" spans="12:14" ht="15" customHeight="1" x14ac:dyDescent="0.25">
      <c r="L376" s="57">
        <f>--ISNUMBER(IFERROR(SEARCH($E$6,General!$I$70,1),""))</f>
        <v>1</v>
      </c>
      <c r="M376" s="57">
        <f>IF(L376=1,COUNTIF($L$8:L376,1),"")</f>
        <v>358</v>
      </c>
      <c r="N376" s="57" t="str">
        <f>IFERROR(INDEX(Tabla1[NOMBRE COMPLETO],MATCH(ROWS($M$8:M376),$M$8:$M$404,0)),"")</f>
        <v/>
      </c>
    </row>
    <row r="377" spans="12:14" ht="15" customHeight="1" x14ac:dyDescent="0.25">
      <c r="L377" s="57">
        <f>--ISNUMBER(IFERROR(SEARCH($E$6,General!$I$71,1),""))</f>
        <v>1</v>
      </c>
      <c r="M377" s="57">
        <f>IF(L377=1,COUNTIF($L$8:L377,1),"")</f>
        <v>359</v>
      </c>
      <c r="N377" s="57" t="str">
        <f>IFERROR(INDEX(Tabla1[NOMBRE COMPLETO],MATCH(ROWS($M$8:M377),$M$8:$M$404,0)),"")</f>
        <v/>
      </c>
    </row>
    <row r="378" spans="12:14" ht="15" customHeight="1" x14ac:dyDescent="0.25">
      <c r="L378" s="57">
        <f>--ISNUMBER(IFERROR(SEARCH($E$6,General!$I$72,1),""))</f>
        <v>1</v>
      </c>
      <c r="M378" s="57">
        <f>IF(L378=1,COUNTIF($L$8:L378,1),"")</f>
        <v>360</v>
      </c>
      <c r="N378" s="57" t="str">
        <f>IFERROR(INDEX(Tabla1[NOMBRE COMPLETO],MATCH(ROWS($M$8:M378),$M$8:$M$404,0)),"")</f>
        <v/>
      </c>
    </row>
    <row r="379" spans="12:14" ht="15" customHeight="1" x14ac:dyDescent="0.25">
      <c r="L379" s="57">
        <f>--ISNUMBER(IFERROR(SEARCH($E$6,General!$I$73,1),""))</f>
        <v>1</v>
      </c>
      <c r="M379" s="57">
        <f>IF(L379=1,COUNTIF($L$8:L379,1),"")</f>
        <v>361</v>
      </c>
      <c r="N379" s="57" t="str">
        <f>IFERROR(INDEX(Tabla1[NOMBRE COMPLETO],MATCH(ROWS($M$8:M379),$M$8:$M$404,0)),"")</f>
        <v/>
      </c>
    </row>
    <row r="380" spans="12:14" ht="15" customHeight="1" x14ac:dyDescent="0.25">
      <c r="L380" s="57">
        <f>--ISNUMBER(IFERROR(SEARCH($E$6,General!$I$74,1),""))</f>
        <v>1</v>
      </c>
      <c r="M380" s="57">
        <f>IF(L380=1,COUNTIF($L$8:L380,1),"")</f>
        <v>362</v>
      </c>
      <c r="N380" s="57" t="str">
        <f>IFERROR(INDEX(Tabla1[NOMBRE COMPLETO],MATCH(ROWS($M$8:M380),$M$8:$M$404,0)),"")</f>
        <v/>
      </c>
    </row>
    <row r="381" spans="12:14" ht="15" customHeight="1" x14ac:dyDescent="0.25">
      <c r="L381" s="57">
        <f>--ISNUMBER(IFERROR(SEARCH($E$6,General!$I$75,1),""))</f>
        <v>1</v>
      </c>
      <c r="M381" s="57">
        <f>IF(L381=1,COUNTIF($L$8:L381,1),"")</f>
        <v>363</v>
      </c>
      <c r="N381" s="57" t="str">
        <f>IFERROR(INDEX(Tabla1[NOMBRE COMPLETO],MATCH(ROWS($M$8:M381),$M$8:$M$404,0)),"")</f>
        <v/>
      </c>
    </row>
    <row r="382" spans="12:14" ht="15" customHeight="1" x14ac:dyDescent="0.25">
      <c r="L382" s="57">
        <f>--ISNUMBER(IFERROR(SEARCH($E$6,General!$I$76,1),""))</f>
        <v>1</v>
      </c>
      <c r="M382" s="57">
        <f>IF(L382=1,COUNTIF($L$8:L382,1),"")</f>
        <v>364</v>
      </c>
      <c r="N382" s="57" t="str">
        <f>IFERROR(INDEX(Tabla1[NOMBRE COMPLETO],MATCH(ROWS($M$8:M382),$M$8:$M$404,0)),"")</f>
        <v/>
      </c>
    </row>
    <row r="383" spans="12:14" ht="15" customHeight="1" x14ac:dyDescent="0.25">
      <c r="L383" s="57">
        <f>--ISNUMBER(IFERROR(SEARCH($E$6,General!$I$77,1),""))</f>
        <v>1</v>
      </c>
      <c r="M383" s="57">
        <f>IF(L383=1,COUNTIF($L$8:L383,1),"")</f>
        <v>365</v>
      </c>
      <c r="N383" s="57" t="str">
        <f>IFERROR(INDEX(Tabla1[NOMBRE COMPLETO],MATCH(ROWS($M$8:M383),$M$8:$M$404,0)),"")</f>
        <v/>
      </c>
    </row>
    <row r="384" spans="12:14" ht="15" customHeight="1" x14ac:dyDescent="0.25">
      <c r="L384" s="57">
        <f>--ISNUMBER(IFERROR(SEARCH($E$6,General!$I$78,1),""))</f>
        <v>1</v>
      </c>
      <c r="M384" s="57">
        <f>IF(L384=1,COUNTIF($L$8:L384,1),"")</f>
        <v>366</v>
      </c>
      <c r="N384" s="57" t="str">
        <f>IFERROR(INDEX(Tabla1[NOMBRE COMPLETO],MATCH(ROWS($M$8:M384),$M$8:$M$404,0)),"")</f>
        <v/>
      </c>
    </row>
    <row r="385" spans="12:14" ht="15" customHeight="1" x14ac:dyDescent="0.25">
      <c r="L385" s="57">
        <f>--ISNUMBER(IFERROR(SEARCH($E$6,General!$I$79,1),""))</f>
        <v>1</v>
      </c>
      <c r="M385" s="57">
        <f>IF(L385=1,COUNTIF($L$8:L385,1),"")</f>
        <v>367</v>
      </c>
      <c r="N385" s="57" t="str">
        <f>IFERROR(INDEX(Tabla1[NOMBRE COMPLETO],MATCH(ROWS($M$8:M385),$M$8:$M$404,0)),"")</f>
        <v/>
      </c>
    </row>
    <row r="386" spans="12:14" ht="15" customHeight="1" x14ac:dyDescent="0.25">
      <c r="L386" s="57">
        <f>--ISNUMBER(IFERROR(SEARCH($E$6,General!$I$80,1),""))</f>
        <v>1</v>
      </c>
      <c r="M386" s="57">
        <f>IF(L386=1,COUNTIF($L$8:L386,1),"")</f>
        <v>368</v>
      </c>
      <c r="N386" s="57" t="str">
        <f>IFERROR(INDEX(Tabla1[NOMBRE COMPLETO],MATCH(ROWS($M$8:M386),$M$8:$M$404,0)),"")</f>
        <v/>
      </c>
    </row>
    <row r="387" spans="12:14" ht="15" customHeight="1" x14ac:dyDescent="0.25">
      <c r="L387" s="57">
        <f>--ISNUMBER(IFERROR(SEARCH($E$6,General!$I$81,1),""))</f>
        <v>1</v>
      </c>
      <c r="M387" s="57">
        <f>IF(L387=1,COUNTIF($L$8:L387,1),"")</f>
        <v>369</v>
      </c>
      <c r="N387" s="57" t="str">
        <f>IFERROR(INDEX(Tabla1[NOMBRE COMPLETO],MATCH(ROWS($M$8:M387),$M$8:$M$404,0)),"")</f>
        <v/>
      </c>
    </row>
    <row r="388" spans="12:14" ht="15" customHeight="1" x14ac:dyDescent="0.25">
      <c r="L388" s="57">
        <f>--ISNUMBER(IFERROR(SEARCH($E$6,General!$I$82,1),""))</f>
        <v>1</v>
      </c>
      <c r="M388" s="57">
        <f>IF(L388=1,COUNTIF($L$8:L388,1),"")</f>
        <v>370</v>
      </c>
      <c r="N388" s="57" t="str">
        <f>IFERROR(INDEX(Tabla1[NOMBRE COMPLETO],MATCH(ROWS($M$8:M388),$M$8:$M$404,0)),"")</f>
        <v/>
      </c>
    </row>
    <row r="389" spans="12:14" ht="15" customHeight="1" x14ac:dyDescent="0.25">
      <c r="L389" s="57">
        <f>--ISNUMBER(IFERROR(SEARCH($E$6,General!$I$83,1),""))</f>
        <v>1</v>
      </c>
      <c r="M389" s="57">
        <f>IF(L389=1,COUNTIF($L$8:L389,1),"")</f>
        <v>371</v>
      </c>
      <c r="N389" s="57" t="str">
        <f>IFERROR(INDEX(Tabla1[NOMBRE COMPLETO],MATCH(ROWS($M$8:M389),$M$8:$M$404,0)),"")</f>
        <v/>
      </c>
    </row>
    <row r="390" spans="12:14" ht="15" customHeight="1" x14ac:dyDescent="0.25">
      <c r="L390" s="57">
        <f>--ISNUMBER(IFERROR(SEARCH($E$6,General!$I$84,1),""))</f>
        <v>1</v>
      </c>
      <c r="M390" s="57">
        <f>IF(L390=1,COUNTIF($L$8:L390,1),"")</f>
        <v>372</v>
      </c>
      <c r="N390" s="57" t="str">
        <f>IFERROR(INDEX(Tabla1[NOMBRE COMPLETO],MATCH(ROWS($M$8:M390),$M$8:$M$404,0)),"")</f>
        <v/>
      </c>
    </row>
    <row r="391" spans="12:14" ht="15" customHeight="1" x14ac:dyDescent="0.25">
      <c r="L391" s="57">
        <f>--ISNUMBER(IFERROR(SEARCH($E$6,General!$I$85,1),""))</f>
        <v>1</v>
      </c>
      <c r="M391" s="57">
        <f>IF(L391=1,COUNTIF($L$8:L391,1),"")</f>
        <v>373</v>
      </c>
      <c r="N391" s="57" t="str">
        <f>IFERROR(INDEX(Tabla1[NOMBRE COMPLETO],MATCH(ROWS($M$8:M391),$M$8:$M$404,0)),"")</f>
        <v/>
      </c>
    </row>
    <row r="392" spans="12:14" ht="15" customHeight="1" x14ac:dyDescent="0.25">
      <c r="L392" s="57">
        <f>--ISNUMBER(IFERROR(SEARCH($E$6,General!$I$86,1),""))</f>
        <v>1</v>
      </c>
      <c r="M392" s="57">
        <f>IF(L392=1,COUNTIF($L$8:L392,1),"")</f>
        <v>374</v>
      </c>
      <c r="N392" s="57" t="str">
        <f>IFERROR(INDEX(Tabla1[NOMBRE COMPLETO],MATCH(ROWS($M$8:M392),$M$8:$M$404,0)),"")</f>
        <v/>
      </c>
    </row>
    <row r="393" spans="12:14" ht="15" customHeight="1" x14ac:dyDescent="0.25">
      <c r="L393" s="57">
        <f>--ISNUMBER(IFERROR(SEARCH($E$6,General!$I$87,1),""))</f>
        <v>1</v>
      </c>
      <c r="M393" s="57">
        <f>IF(L393=1,COUNTIF($L$8:L393,1),"")</f>
        <v>375</v>
      </c>
      <c r="N393" s="57" t="str">
        <f>IFERROR(INDEX(Tabla1[NOMBRE COMPLETO],MATCH(ROWS($M$8:M393),$M$8:$M$404,0)),"")</f>
        <v/>
      </c>
    </row>
    <row r="394" spans="12:14" ht="15" customHeight="1" x14ac:dyDescent="0.25">
      <c r="L394" s="57">
        <f>--ISNUMBER(IFERROR(SEARCH($E$6,General!$I$88,1),""))</f>
        <v>1</v>
      </c>
      <c r="M394" s="57">
        <f>IF(L394=1,COUNTIF($L$8:L394,1),"")</f>
        <v>376</v>
      </c>
      <c r="N394" s="57" t="str">
        <f>IFERROR(INDEX(Tabla1[NOMBRE COMPLETO],MATCH(ROWS($M$8:M394),$M$8:$M$404,0)),"")</f>
        <v/>
      </c>
    </row>
    <row r="395" spans="12:14" ht="15" customHeight="1" x14ac:dyDescent="0.25">
      <c r="L395" s="57">
        <f>--ISNUMBER(IFERROR(SEARCH($E$6,General!$I$89,1),""))</f>
        <v>1</v>
      </c>
      <c r="M395" s="57">
        <f>IF(L395=1,COUNTIF($L$8:L395,1),"")</f>
        <v>377</v>
      </c>
      <c r="N395" s="57" t="str">
        <f>IFERROR(INDEX(Tabla1[NOMBRE COMPLETO],MATCH(ROWS($M$8:M395),$M$8:$M$404,0)),"")</f>
        <v/>
      </c>
    </row>
    <row r="396" spans="12:14" ht="15" customHeight="1" x14ac:dyDescent="0.25">
      <c r="L396" s="57">
        <f>--ISNUMBER(IFERROR(SEARCH($E$6,General!$I$90,1),""))</f>
        <v>1</v>
      </c>
      <c r="M396" s="57">
        <f>IF(L396=1,COUNTIF($L$8:L396,1),"")</f>
        <v>378</v>
      </c>
      <c r="N396" s="57" t="str">
        <f>IFERROR(INDEX(Tabla1[NOMBRE COMPLETO],MATCH(ROWS($M$8:M396),$M$8:$M$404,0)),"")</f>
        <v/>
      </c>
    </row>
    <row r="397" spans="12:14" ht="15" customHeight="1" x14ac:dyDescent="0.25">
      <c r="L397" s="57">
        <f>--ISNUMBER(IFERROR(SEARCH($E$6,General!$I$91,1),""))</f>
        <v>1</v>
      </c>
      <c r="M397" s="57">
        <f>IF(L397=1,COUNTIF($L$8:L397,1),"")</f>
        <v>379</v>
      </c>
      <c r="N397" s="57" t="str">
        <f>IFERROR(INDEX(Tabla1[NOMBRE COMPLETO],MATCH(ROWS($M$8:M397),$M$8:$M$404,0)),"")</f>
        <v/>
      </c>
    </row>
    <row r="398" spans="12:14" ht="15" customHeight="1" x14ac:dyDescent="0.25">
      <c r="L398" s="57">
        <f>--ISNUMBER(IFERROR(SEARCH($E$6,General!$I$92,1),""))</f>
        <v>1</v>
      </c>
      <c r="M398" s="57">
        <f>IF(L398=1,COUNTIF($L$8:L398,1),"")</f>
        <v>380</v>
      </c>
      <c r="N398" s="57" t="str">
        <f>IFERROR(INDEX(Tabla1[NOMBRE COMPLETO],MATCH(ROWS($M$8:M398),$M$8:$M$404,0)),"")</f>
        <v/>
      </c>
    </row>
    <row r="399" spans="12:14" ht="15" customHeight="1" x14ac:dyDescent="0.25">
      <c r="L399" s="57">
        <f>--ISNUMBER(IFERROR(SEARCH($E$6,General!$I$93,1),""))</f>
        <v>1</v>
      </c>
      <c r="M399" s="57">
        <f>IF(L399=1,COUNTIF($L$8:L399,1),"")</f>
        <v>381</v>
      </c>
      <c r="N399" s="57" t="str">
        <f>IFERROR(INDEX(Tabla1[NOMBRE COMPLETO],MATCH(ROWS($M$8:M399),$M$8:$M$404,0)),"")</f>
        <v/>
      </c>
    </row>
    <row r="400" spans="12:14" ht="15" customHeight="1" x14ac:dyDescent="0.25">
      <c r="L400" s="57">
        <f>--ISNUMBER(IFERROR(SEARCH($E$6,General!$I$94,1),""))</f>
        <v>1</v>
      </c>
      <c r="M400" s="57">
        <f>IF(L400=1,COUNTIF($L$8:L400,1),"")</f>
        <v>382</v>
      </c>
      <c r="N400" s="57" t="str">
        <f>IFERROR(INDEX(Tabla1[NOMBRE COMPLETO],MATCH(ROWS($M$8:M400),$M$8:$M$404,0)),"")</f>
        <v/>
      </c>
    </row>
    <row r="401" spans="1:14" ht="15" customHeight="1" x14ac:dyDescent="0.25">
      <c r="L401" s="57">
        <f>--ISNUMBER(IFERROR(SEARCH($E$6,General!$I$95,1),""))</f>
        <v>1</v>
      </c>
      <c r="M401" s="57">
        <f>IF(L401=1,COUNTIF($L$8:L401,1),"")</f>
        <v>383</v>
      </c>
      <c r="N401" s="57" t="str">
        <f>IFERROR(INDEX(Tabla1[NOMBRE COMPLETO],MATCH(ROWS($M$8:M401),$M$8:$M$404,0)),"")</f>
        <v/>
      </c>
    </row>
    <row r="402" spans="1:14" ht="15" customHeight="1" x14ac:dyDescent="0.25">
      <c r="L402" s="57">
        <f>--ISNUMBER(IFERROR(SEARCH($E$6,General!$I$96,1),""))</f>
        <v>1</v>
      </c>
      <c r="M402" s="57">
        <f>IF(L402=1,COUNTIF($L$8:L402,1),"")</f>
        <v>384</v>
      </c>
      <c r="N402" s="57" t="str">
        <f>IFERROR(INDEX(Tabla1[NOMBRE COMPLETO],MATCH(ROWS($M$8:M402),$M$8:$M$404,0)),"")</f>
        <v/>
      </c>
    </row>
    <row r="403" spans="1:14" ht="15" customHeight="1" x14ac:dyDescent="0.25">
      <c r="L403" s="57">
        <f>--ISNUMBER(IFERROR(SEARCH($E$6,General!$I$97,1),""))</f>
        <v>1</v>
      </c>
      <c r="M403" s="57">
        <f>IF(L403=1,COUNTIF($L$8:L403,1),"")</f>
        <v>385</v>
      </c>
      <c r="N403" s="57" t="str">
        <f>IFERROR(INDEX(Tabla1[NOMBRE COMPLETO],MATCH(ROWS($M$8:M403),$M$8:$M$404,0)),"")</f>
        <v/>
      </c>
    </row>
    <row r="404" spans="1:14" ht="15" customHeight="1" x14ac:dyDescent="0.25">
      <c r="L404" s="57">
        <f>--ISNUMBER(IFERROR(SEARCH($E$6,General!$I$98,1),""))</f>
        <v>1</v>
      </c>
      <c r="M404" s="57">
        <f>IF(L404=1,COUNTIF($L$8:L404,1),"")</f>
        <v>386</v>
      </c>
      <c r="N404" s="57" t="str">
        <f>IFERROR(INDEX(Tabla1[NOMBRE COMPLETO],MATCH(ROWS($M$8:M404),$M$8:$M$404,0)),"")</f>
        <v/>
      </c>
    </row>
    <row r="405" spans="1:14" x14ac:dyDescent="0.25">
      <c r="A405" t="s">
        <v>373</v>
      </c>
      <c r="B405">
        <v>1</v>
      </c>
      <c r="C405" t="s">
        <v>374</v>
      </c>
      <c r="D405" t="s">
        <v>375</v>
      </c>
    </row>
  </sheetData>
  <sheetProtection autoFilter="0"/>
  <mergeCells count="18">
    <mergeCell ref="G1:G14"/>
    <mergeCell ref="A1:F2"/>
    <mergeCell ref="A15:G17"/>
    <mergeCell ref="B11:F11"/>
    <mergeCell ref="E5:F5"/>
    <mergeCell ref="B12:F14"/>
    <mergeCell ref="E4:F4"/>
    <mergeCell ref="A3:A14"/>
    <mergeCell ref="B3:F3"/>
    <mergeCell ref="B7:C7"/>
    <mergeCell ref="B8:C10"/>
    <mergeCell ref="B4:B5"/>
    <mergeCell ref="C4:D5"/>
    <mergeCell ref="E6:F6"/>
    <mergeCell ref="E7:F7"/>
    <mergeCell ref="E8:F8"/>
    <mergeCell ref="E9:F9"/>
    <mergeCell ref="E10:F10"/>
  </mergeCells>
  <conditionalFormatting sqref="B8:C10">
    <cfRule type="cellIs" dxfId="1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1">
          <controlPr defaultSize="0" autoLine="0" autoPict="0" linkedCell="E6" listFillRange="Lista" r:id="rId5">
            <anchor moveWithCells="1">
              <from>
                <xdr:col>2</xdr:col>
                <xdr:colOff>19050</xdr:colOff>
                <xdr:row>3</xdr:row>
                <xdr:rowOff>9525</xdr:rowOff>
              </from>
              <to>
                <xdr:col>4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32" r:id="rId4" name="ComboBox1"/>
      </mc:Fallback>
    </mc:AlternateContent>
    <mc:AlternateContent xmlns:mc="http://schemas.openxmlformats.org/markup-compatibility/2006">
      <mc:Choice Requires="x14">
        <control shapeId="1033" r:id="rId6" name="Spinner 9">
          <controlPr defaultSize="0" autoPict="0">
            <anchor moveWithCells="1" sizeWithCells="1">
              <from>
                <xdr:col>2</xdr:col>
                <xdr:colOff>2628900</xdr:colOff>
                <xdr:row>7</xdr:row>
                <xdr:rowOff>295275</xdr:rowOff>
              </from>
              <to>
                <xdr:col>2</xdr:col>
                <xdr:colOff>3552825</xdr:colOff>
                <xdr:row>9</xdr:row>
                <xdr:rowOff>381000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M986"/>
  <sheetViews>
    <sheetView topLeftCell="A178" zoomScale="70" zoomScaleNormal="70" workbookViewId="0">
      <selection activeCell="A187" sqref="A187"/>
    </sheetView>
  </sheetViews>
  <sheetFormatPr baseColWidth="10" defaultRowHeight="15" x14ac:dyDescent="0.25"/>
  <cols>
    <col min="1" max="1" width="21.85546875" customWidth="1"/>
    <col min="2" max="2" width="26" customWidth="1"/>
    <col min="3" max="3" width="60.42578125" customWidth="1"/>
    <col min="4" max="4" width="25.85546875" style="1" customWidth="1"/>
    <col min="5" max="5" width="16.85546875" customWidth="1"/>
    <col min="6" max="6" width="32.140625" customWidth="1"/>
    <col min="7" max="7" width="15.140625" customWidth="1"/>
    <col min="8" max="8" width="75.42578125" customWidth="1"/>
    <col min="9" max="9" width="85.7109375" customWidth="1"/>
    <col min="10" max="10" width="23" customWidth="1"/>
    <col min="12" max="12" width="16.85546875" hidden="1" customWidth="1"/>
  </cols>
  <sheetData>
    <row r="1" spans="1:13" s="18" customFormat="1" x14ac:dyDescent="0.25">
      <c r="A1" s="18" t="s">
        <v>0</v>
      </c>
      <c r="B1" s="18" t="s">
        <v>347</v>
      </c>
      <c r="C1" s="18" t="s">
        <v>6</v>
      </c>
      <c r="D1" s="21" t="s">
        <v>339</v>
      </c>
      <c r="E1" s="18" t="s">
        <v>4</v>
      </c>
      <c r="F1" s="18" t="s">
        <v>1</v>
      </c>
      <c r="G1" s="18" t="s">
        <v>377</v>
      </c>
      <c r="H1" s="18" t="s">
        <v>7</v>
      </c>
      <c r="I1" s="18" t="s">
        <v>341</v>
      </c>
      <c r="J1" s="18" t="s">
        <v>376</v>
      </c>
      <c r="L1"/>
      <c r="M1" s="18" t="s">
        <v>4</v>
      </c>
    </row>
    <row r="2" spans="1:13" x14ac:dyDescent="0.25">
      <c r="A2" t="s">
        <v>13</v>
      </c>
      <c r="B2" s="6">
        <v>0</v>
      </c>
      <c r="C2" t="s">
        <v>14</v>
      </c>
      <c r="D2" s="1" t="s">
        <v>15</v>
      </c>
      <c r="E2" t="s">
        <v>10</v>
      </c>
      <c r="F2" s="7" t="s">
        <v>16</v>
      </c>
      <c r="G2" s="7">
        <v>1</v>
      </c>
      <c r="H2" t="s">
        <v>354</v>
      </c>
      <c r="I2" t="str">
        <f t="shared" ref="I2:I33" si="0">(A2&amp;"  |  "&amp;C2&amp;" | "&amp;E2)</f>
        <v>PH4-D1  |  BATERIA DE VUELO INTELIGENTE PHANTOM4 | BATERIAS</v>
      </c>
      <c r="J2" s="19">
        <f t="shared" ref="J2:J60" si="1">SUM(B2,G2)</f>
        <v>1</v>
      </c>
      <c r="M2" t="s">
        <v>118</v>
      </c>
    </row>
    <row r="3" spans="1:13" x14ac:dyDescent="0.25">
      <c r="A3" t="s">
        <v>17</v>
      </c>
      <c r="B3" s="6">
        <v>0</v>
      </c>
      <c r="C3" t="s">
        <v>14</v>
      </c>
      <c r="D3" s="1" t="s">
        <v>18</v>
      </c>
      <c r="E3" t="s">
        <v>10</v>
      </c>
      <c r="F3" s="7" t="s">
        <v>16</v>
      </c>
      <c r="G3" s="7">
        <v>1</v>
      </c>
      <c r="H3" t="s">
        <v>354</v>
      </c>
      <c r="I3" t="str">
        <f t="shared" si="0"/>
        <v>PH4-D2  |  BATERIA DE VUELO INTELIGENTE PHANTOM4 | BATERIAS</v>
      </c>
      <c r="J3" s="19">
        <f t="shared" si="1"/>
        <v>1</v>
      </c>
      <c r="M3" t="s">
        <v>135</v>
      </c>
    </row>
    <row r="4" spans="1:13" x14ac:dyDescent="0.25">
      <c r="A4" t="s">
        <v>19</v>
      </c>
      <c r="B4" s="6">
        <v>0</v>
      </c>
      <c r="C4" t="s">
        <v>14</v>
      </c>
      <c r="D4" s="1" t="s">
        <v>20</v>
      </c>
      <c r="E4" t="s">
        <v>10</v>
      </c>
      <c r="F4" s="7" t="s">
        <v>16</v>
      </c>
      <c r="G4" s="7">
        <v>1</v>
      </c>
      <c r="H4" t="s">
        <v>354</v>
      </c>
      <c r="I4" t="str">
        <f t="shared" si="0"/>
        <v>PH4-D3  |  BATERIA DE VUELO INTELIGENTE PHANTOM4 | BATERIAS</v>
      </c>
      <c r="J4" s="19">
        <f t="shared" si="1"/>
        <v>1</v>
      </c>
      <c r="M4" t="s">
        <v>205</v>
      </c>
    </row>
    <row r="5" spans="1:13" x14ac:dyDescent="0.25">
      <c r="A5" t="s">
        <v>95</v>
      </c>
      <c r="B5" s="6">
        <v>1</v>
      </c>
      <c r="C5" t="s">
        <v>96</v>
      </c>
      <c r="D5" s="1" t="s">
        <v>23</v>
      </c>
      <c r="E5" t="s">
        <v>10</v>
      </c>
      <c r="F5" s="7" t="s">
        <v>97</v>
      </c>
      <c r="G5" s="7">
        <v>1</v>
      </c>
      <c r="H5" t="s">
        <v>354</v>
      </c>
      <c r="I5" t="str">
        <f t="shared" si="0"/>
        <v>FPVBat-01  |  BATERIA PARA MONITOR BLACK PEARL | BATERIAS</v>
      </c>
      <c r="J5" s="19">
        <f t="shared" si="1"/>
        <v>2</v>
      </c>
      <c r="M5" t="s">
        <v>283</v>
      </c>
    </row>
    <row r="6" spans="1:13" x14ac:dyDescent="0.25">
      <c r="A6" t="s">
        <v>98</v>
      </c>
      <c r="B6" s="6">
        <v>1</v>
      </c>
      <c r="C6" t="s">
        <v>96</v>
      </c>
      <c r="D6" s="1" t="s">
        <v>23</v>
      </c>
      <c r="E6" t="s">
        <v>10</v>
      </c>
      <c r="F6" s="7" t="s">
        <v>97</v>
      </c>
      <c r="G6" s="7">
        <v>1</v>
      </c>
      <c r="H6" t="s">
        <v>354</v>
      </c>
      <c r="I6" t="str">
        <f t="shared" si="0"/>
        <v>FPVBat-02  |  BATERIA PARA MONITOR BLACK PEARL | BATERIAS</v>
      </c>
      <c r="J6" s="19">
        <f t="shared" si="1"/>
        <v>2</v>
      </c>
      <c r="M6" t="s">
        <v>112</v>
      </c>
    </row>
    <row r="7" spans="1:13" x14ac:dyDescent="0.25">
      <c r="A7" t="s">
        <v>99</v>
      </c>
      <c r="B7" s="6">
        <v>1</v>
      </c>
      <c r="C7" t="s">
        <v>96</v>
      </c>
      <c r="D7" s="1" t="s">
        <v>23</v>
      </c>
      <c r="E7" t="s">
        <v>10</v>
      </c>
      <c r="F7" s="7" t="s">
        <v>97</v>
      </c>
      <c r="G7" s="7">
        <v>1</v>
      </c>
      <c r="H7" t="s">
        <v>354</v>
      </c>
      <c r="I7" t="str">
        <f t="shared" si="0"/>
        <v>FPVBat-03  |  BATERIA PARA MONITOR BLACK PEARL | BATERIAS</v>
      </c>
      <c r="J7" s="19">
        <f t="shared" si="1"/>
        <v>2</v>
      </c>
      <c r="M7" t="s">
        <v>10</v>
      </c>
    </row>
    <row r="8" spans="1:13" x14ac:dyDescent="0.25">
      <c r="A8" t="s">
        <v>100</v>
      </c>
      <c r="B8" s="6">
        <v>1</v>
      </c>
      <c r="C8" t="s">
        <v>96</v>
      </c>
      <c r="D8" s="1" t="s">
        <v>23</v>
      </c>
      <c r="E8" t="s">
        <v>10</v>
      </c>
      <c r="F8" s="7" t="s">
        <v>97</v>
      </c>
      <c r="G8" s="7">
        <v>1</v>
      </c>
      <c r="H8" t="s">
        <v>354</v>
      </c>
      <c r="I8" t="str">
        <f t="shared" si="0"/>
        <v>FPVBat-04  |  BATERIA PARA MONITOR BLACK PEARL | BATERIAS</v>
      </c>
      <c r="J8" s="19">
        <f t="shared" si="1"/>
        <v>2</v>
      </c>
      <c r="M8" t="s">
        <v>55</v>
      </c>
    </row>
    <row r="9" spans="1:13" x14ac:dyDescent="0.25">
      <c r="A9" t="s">
        <v>101</v>
      </c>
      <c r="B9" s="6">
        <v>1</v>
      </c>
      <c r="C9" t="s">
        <v>96</v>
      </c>
      <c r="D9" s="1" t="s">
        <v>23</v>
      </c>
      <c r="E9" t="s">
        <v>10</v>
      </c>
      <c r="F9" s="7" t="s">
        <v>97</v>
      </c>
      <c r="G9" s="7">
        <v>1</v>
      </c>
      <c r="H9" t="s">
        <v>354</v>
      </c>
      <c r="I9" t="str">
        <f t="shared" si="0"/>
        <v>FPVBat-05  |  BATERIA PARA MONITOR BLACK PEARL | BATERIAS</v>
      </c>
      <c r="J9" s="19">
        <f t="shared" si="1"/>
        <v>2</v>
      </c>
      <c r="M9" t="s">
        <v>76</v>
      </c>
    </row>
    <row r="10" spans="1:13" x14ac:dyDescent="0.25">
      <c r="A10" t="s">
        <v>102</v>
      </c>
      <c r="B10" s="6">
        <v>1</v>
      </c>
      <c r="C10" t="s">
        <v>96</v>
      </c>
      <c r="D10" s="1" t="s">
        <v>23</v>
      </c>
      <c r="E10" t="s">
        <v>10</v>
      </c>
      <c r="F10" s="7" t="s">
        <v>97</v>
      </c>
      <c r="G10" s="7">
        <v>1</v>
      </c>
      <c r="H10" t="s">
        <v>354</v>
      </c>
      <c r="I10" t="str">
        <f t="shared" si="0"/>
        <v>FPVBat-06  |  BATERIA PARA MONITOR BLACK PEARL | BATERIAS</v>
      </c>
      <c r="J10" s="19">
        <f t="shared" si="1"/>
        <v>2</v>
      </c>
      <c r="M10" t="s">
        <v>89</v>
      </c>
    </row>
    <row r="11" spans="1:13" x14ac:dyDescent="0.25">
      <c r="A11" t="s">
        <v>109</v>
      </c>
      <c r="B11" s="6">
        <v>0</v>
      </c>
      <c r="C11" t="s">
        <v>348</v>
      </c>
      <c r="D11" s="1" t="s">
        <v>354</v>
      </c>
      <c r="E11" t="s">
        <v>10</v>
      </c>
      <c r="F11" s="7" t="s">
        <v>354</v>
      </c>
      <c r="G11" s="7">
        <v>1</v>
      </c>
      <c r="H11" t="s">
        <v>354</v>
      </c>
      <c r="I11" t="str">
        <f t="shared" si="0"/>
        <v>CH-DD-Y-0041  |  CARGADOR BATERIA DELTA DRONE | BATERIAS</v>
      </c>
      <c r="J11" s="19">
        <f t="shared" si="1"/>
        <v>1</v>
      </c>
      <c r="M11" t="s">
        <v>349</v>
      </c>
    </row>
    <row r="12" spans="1:13" x14ac:dyDescent="0.25">
      <c r="A12" t="s">
        <v>21</v>
      </c>
      <c r="B12" s="6">
        <v>0</v>
      </c>
      <c r="C12" t="s">
        <v>103</v>
      </c>
      <c r="D12" s="1">
        <v>2200012260354</v>
      </c>
      <c r="E12" t="s">
        <v>10</v>
      </c>
      <c r="F12" s="7" t="s">
        <v>354</v>
      </c>
      <c r="G12" s="7">
        <v>1</v>
      </c>
      <c r="H12" t="s">
        <v>354</v>
      </c>
      <c r="I12" t="str">
        <f t="shared" si="0"/>
        <v>LIFE-01  |  LIFE 1500mAh 1C 9.9V | BATERIAS</v>
      </c>
      <c r="J12" s="19">
        <f t="shared" si="1"/>
        <v>1</v>
      </c>
      <c r="M12" t="s">
        <v>37</v>
      </c>
    </row>
    <row r="13" spans="1:13" x14ac:dyDescent="0.25">
      <c r="A13" t="s">
        <v>354</v>
      </c>
      <c r="B13" s="6">
        <v>1</v>
      </c>
      <c r="C13" t="s">
        <v>147</v>
      </c>
      <c r="D13" s="1" t="s">
        <v>23</v>
      </c>
      <c r="E13" t="s">
        <v>10</v>
      </c>
      <c r="F13" s="7" t="s">
        <v>146</v>
      </c>
      <c r="G13" s="7">
        <v>1</v>
      </c>
      <c r="H13" t="s">
        <v>354</v>
      </c>
      <c r="I13" t="str">
        <f t="shared" si="0"/>
        <v xml:space="preserve">   |  MEDIDOR DE VOLTAJE HOBBYKING | BATERIAS</v>
      </c>
      <c r="J13" s="19">
        <f t="shared" si="1"/>
        <v>2</v>
      </c>
      <c r="M13" t="s">
        <v>68</v>
      </c>
    </row>
    <row r="14" spans="1:13" x14ac:dyDescent="0.25">
      <c r="A14" t="s">
        <v>354</v>
      </c>
      <c r="B14" s="6">
        <v>1</v>
      </c>
      <c r="C14" t="s">
        <v>147</v>
      </c>
      <c r="D14" s="1" t="s">
        <v>23</v>
      </c>
      <c r="E14" t="s">
        <v>10</v>
      </c>
      <c r="F14" s="7" t="s">
        <v>146</v>
      </c>
      <c r="G14" s="7">
        <v>1</v>
      </c>
      <c r="H14" t="s">
        <v>354</v>
      </c>
      <c r="I14" t="str">
        <f t="shared" si="0"/>
        <v xml:space="preserve">   |  MEDIDOR DE VOLTAJE HOBBYKING | BATERIAS</v>
      </c>
      <c r="J14" s="19">
        <f t="shared" si="1"/>
        <v>2</v>
      </c>
      <c r="M14" t="s">
        <v>350</v>
      </c>
    </row>
    <row r="15" spans="1:13" x14ac:dyDescent="0.25">
      <c r="A15" t="s">
        <v>27</v>
      </c>
      <c r="B15" s="6">
        <v>0</v>
      </c>
      <c r="C15" t="s">
        <v>28</v>
      </c>
      <c r="D15" s="1" t="s">
        <v>23</v>
      </c>
      <c r="E15" t="s">
        <v>10</v>
      </c>
      <c r="F15" s="7" t="s">
        <v>29</v>
      </c>
      <c r="G15" s="7">
        <v>1</v>
      </c>
      <c r="H15" t="s">
        <v>346</v>
      </c>
      <c r="I15" t="str">
        <f t="shared" si="0"/>
        <v>MULTISTAR-01  |  MULTISTAR 4S10000mAh | BATERIAS</v>
      </c>
      <c r="J15" s="19">
        <f t="shared" si="1"/>
        <v>1</v>
      </c>
      <c r="M15" t="s">
        <v>357</v>
      </c>
    </row>
    <row r="16" spans="1:13" x14ac:dyDescent="0.25">
      <c r="A16" t="s">
        <v>30</v>
      </c>
      <c r="B16" s="6">
        <v>0</v>
      </c>
      <c r="C16" t="s">
        <v>28</v>
      </c>
      <c r="D16" s="1" t="s">
        <v>23</v>
      </c>
      <c r="E16" t="s">
        <v>10</v>
      </c>
      <c r="F16" s="7" t="s">
        <v>29</v>
      </c>
      <c r="G16" s="7">
        <v>1</v>
      </c>
      <c r="H16" t="s">
        <v>346</v>
      </c>
      <c r="I16" t="str">
        <f t="shared" si="0"/>
        <v>MULTISTAR-02  |  MULTISTAR 4S10000mAh | BATERIAS</v>
      </c>
      <c r="J16" s="19">
        <f t="shared" si="1"/>
        <v>1</v>
      </c>
    </row>
    <row r="17" spans="1:10" x14ac:dyDescent="0.25">
      <c r="A17" t="s">
        <v>33</v>
      </c>
      <c r="B17" s="6">
        <v>0</v>
      </c>
      <c r="C17" t="s">
        <v>28</v>
      </c>
      <c r="D17" s="1">
        <v>2200013374073</v>
      </c>
      <c r="E17" t="s">
        <v>10</v>
      </c>
      <c r="F17" s="7" t="s">
        <v>29</v>
      </c>
      <c r="G17" s="7">
        <v>1</v>
      </c>
      <c r="H17" t="s">
        <v>345</v>
      </c>
      <c r="I17" t="str">
        <f t="shared" si="0"/>
        <v>MULTISTAR-03  |  MULTISTAR 4S10000mAh | BATERIAS</v>
      </c>
      <c r="J17" s="19">
        <f t="shared" si="1"/>
        <v>1</v>
      </c>
    </row>
    <row r="18" spans="1:10" x14ac:dyDescent="0.25">
      <c r="A18" t="s">
        <v>34</v>
      </c>
      <c r="B18" s="6">
        <v>0</v>
      </c>
      <c r="C18" t="s">
        <v>28</v>
      </c>
      <c r="D18" s="1">
        <v>2200013373314</v>
      </c>
      <c r="E18" t="s">
        <v>10</v>
      </c>
      <c r="F18" s="7" t="s">
        <v>29</v>
      </c>
      <c r="G18" s="7">
        <v>1</v>
      </c>
      <c r="H18" t="s">
        <v>345</v>
      </c>
      <c r="I18" t="str">
        <f t="shared" si="0"/>
        <v>MULTISTAR-04  |  MULTISTAR 4S10000mAh | BATERIAS</v>
      </c>
      <c r="J18" s="19">
        <f t="shared" si="1"/>
        <v>1</v>
      </c>
    </row>
    <row r="19" spans="1:10" x14ac:dyDescent="0.25">
      <c r="A19" t="s">
        <v>31</v>
      </c>
      <c r="B19" s="6">
        <v>1</v>
      </c>
      <c r="C19" t="s">
        <v>28</v>
      </c>
      <c r="D19" s="1">
        <v>2200013373064</v>
      </c>
      <c r="E19" t="s">
        <v>10</v>
      </c>
      <c r="F19" s="7" t="s">
        <v>29</v>
      </c>
      <c r="G19" s="7">
        <v>1</v>
      </c>
      <c r="H19" t="s">
        <v>345</v>
      </c>
      <c r="I19" t="str">
        <f t="shared" si="0"/>
        <v>XMULTISTAR-01  |  MULTISTAR 4S10000mAh | BATERIAS</v>
      </c>
      <c r="J19" s="19">
        <f t="shared" si="1"/>
        <v>2</v>
      </c>
    </row>
    <row r="20" spans="1:10" x14ac:dyDescent="0.25">
      <c r="A20" t="s">
        <v>32</v>
      </c>
      <c r="B20" s="6">
        <v>1</v>
      </c>
      <c r="C20" t="s">
        <v>28</v>
      </c>
      <c r="D20" s="1">
        <v>2200013373869</v>
      </c>
      <c r="E20" t="s">
        <v>10</v>
      </c>
      <c r="F20" s="7" t="s">
        <v>29</v>
      </c>
      <c r="G20" s="7">
        <v>1</v>
      </c>
      <c r="H20" t="s">
        <v>345</v>
      </c>
      <c r="I20" t="str">
        <f t="shared" si="0"/>
        <v>XMULTISTAR-02  |  MULTISTAR 4S10000mAh | BATERIAS</v>
      </c>
      <c r="J20" s="19">
        <f t="shared" si="1"/>
        <v>2</v>
      </c>
    </row>
    <row r="21" spans="1:10" x14ac:dyDescent="0.25">
      <c r="A21" t="s">
        <v>22</v>
      </c>
      <c r="B21" s="6">
        <v>0</v>
      </c>
      <c r="C21" t="s">
        <v>104</v>
      </c>
      <c r="D21" s="1" t="s">
        <v>23</v>
      </c>
      <c r="E21" t="s">
        <v>10</v>
      </c>
      <c r="F21" s="7" t="s">
        <v>2</v>
      </c>
      <c r="G21" s="7">
        <v>1</v>
      </c>
      <c r="H21" t="s">
        <v>354</v>
      </c>
      <c r="I21" t="str">
        <f t="shared" si="0"/>
        <v>DY-01  |  THUNDER-POWER 4S 4400mAh G8 Pro Lite | BATERIAS</v>
      </c>
      <c r="J21" s="19">
        <f t="shared" si="1"/>
        <v>1</v>
      </c>
    </row>
    <row r="22" spans="1:10" x14ac:dyDescent="0.25">
      <c r="A22" t="s">
        <v>24</v>
      </c>
      <c r="B22" s="6">
        <v>0</v>
      </c>
      <c r="C22" t="s">
        <v>104</v>
      </c>
      <c r="D22" s="1" t="s">
        <v>23</v>
      </c>
      <c r="E22" t="s">
        <v>10</v>
      </c>
      <c r="F22" s="7" t="s">
        <v>2</v>
      </c>
      <c r="G22" s="7">
        <v>1</v>
      </c>
      <c r="H22" t="s">
        <v>354</v>
      </c>
      <c r="I22" t="str">
        <f t="shared" si="0"/>
        <v>DY-02  |  THUNDER-POWER 4S 4400mAh G8 Pro Lite | BATERIAS</v>
      </c>
      <c r="J22" s="19">
        <f t="shared" si="1"/>
        <v>1</v>
      </c>
    </row>
    <row r="23" spans="1:10" x14ac:dyDescent="0.25">
      <c r="A23" t="s">
        <v>25</v>
      </c>
      <c r="B23" s="6">
        <v>0</v>
      </c>
      <c r="C23" t="s">
        <v>104</v>
      </c>
      <c r="D23" s="1" t="s">
        <v>23</v>
      </c>
      <c r="E23" t="s">
        <v>10</v>
      </c>
      <c r="F23" s="7" t="s">
        <v>2</v>
      </c>
      <c r="G23" s="7">
        <v>1</v>
      </c>
      <c r="H23" t="s">
        <v>354</v>
      </c>
      <c r="I23" t="str">
        <f t="shared" si="0"/>
        <v>DY-03  |  THUNDER-POWER 4S 4400mAh G8 Pro Lite | BATERIAS</v>
      </c>
      <c r="J23" s="19">
        <f t="shared" si="1"/>
        <v>1</v>
      </c>
    </row>
    <row r="24" spans="1:10" x14ac:dyDescent="0.25">
      <c r="A24" t="s">
        <v>26</v>
      </c>
      <c r="B24" s="6">
        <v>0</v>
      </c>
      <c r="C24" t="s">
        <v>104</v>
      </c>
      <c r="D24" s="1" t="s">
        <v>23</v>
      </c>
      <c r="E24" t="s">
        <v>10</v>
      </c>
      <c r="F24" s="7" t="s">
        <v>2</v>
      </c>
      <c r="G24" s="7">
        <v>1</v>
      </c>
      <c r="H24" t="s">
        <v>354</v>
      </c>
      <c r="I24" t="str">
        <f t="shared" si="0"/>
        <v>DY-04  |  THUNDER-POWER 4S 4400mAh G8 Pro Lite | BATERIAS</v>
      </c>
      <c r="J24" s="19">
        <f t="shared" si="1"/>
        <v>1</v>
      </c>
    </row>
    <row r="25" spans="1:10" x14ac:dyDescent="0.25">
      <c r="A25" t="s">
        <v>8</v>
      </c>
      <c r="B25" s="6">
        <v>0</v>
      </c>
      <c r="C25" t="s">
        <v>5</v>
      </c>
      <c r="D25" s="1">
        <v>2200011545346</v>
      </c>
      <c r="E25" t="s">
        <v>10</v>
      </c>
      <c r="F25" s="7">
        <v>21344</v>
      </c>
      <c r="G25" s="7">
        <v>1</v>
      </c>
      <c r="H25" t="s">
        <v>354</v>
      </c>
      <c r="I25" t="str">
        <f t="shared" si="0"/>
        <v>ZI-01  |  ZIPPY COMPACT 1000mAh 3S 3C | BATERIAS</v>
      </c>
      <c r="J25" s="19">
        <f t="shared" si="1"/>
        <v>1</v>
      </c>
    </row>
    <row r="26" spans="1:10" x14ac:dyDescent="0.25">
      <c r="A26" t="s">
        <v>9</v>
      </c>
      <c r="B26" s="6">
        <v>0</v>
      </c>
      <c r="C26" t="s">
        <v>5</v>
      </c>
      <c r="D26" s="1">
        <v>2200011545762</v>
      </c>
      <c r="E26" t="s">
        <v>10</v>
      </c>
      <c r="F26" s="7">
        <v>21344</v>
      </c>
      <c r="G26" s="7">
        <v>1</v>
      </c>
      <c r="H26" t="s">
        <v>354</v>
      </c>
      <c r="I26" t="str">
        <f t="shared" si="0"/>
        <v>ZI-02  |  ZIPPY COMPACT 1000mAh 3S 3C | BATERIAS</v>
      </c>
      <c r="J26" s="19">
        <f t="shared" si="1"/>
        <v>1</v>
      </c>
    </row>
    <row r="27" spans="1:10" x14ac:dyDescent="0.25">
      <c r="A27" t="s">
        <v>11</v>
      </c>
      <c r="B27" s="6">
        <v>0</v>
      </c>
      <c r="C27" t="s">
        <v>5</v>
      </c>
      <c r="D27" s="1">
        <v>2200011545385</v>
      </c>
      <c r="E27" t="s">
        <v>10</v>
      </c>
      <c r="F27" s="7">
        <v>21344</v>
      </c>
      <c r="G27" s="7">
        <v>1</v>
      </c>
      <c r="H27" t="s">
        <v>354</v>
      </c>
      <c r="I27" t="str">
        <f t="shared" si="0"/>
        <v>Z1-03  |  ZIPPY COMPACT 1000mAh 3S 3C | BATERIAS</v>
      </c>
      <c r="J27" s="19">
        <f t="shared" si="1"/>
        <v>1</v>
      </c>
    </row>
    <row r="28" spans="1:10" x14ac:dyDescent="0.25">
      <c r="A28" t="s">
        <v>12</v>
      </c>
      <c r="B28" s="6">
        <v>0</v>
      </c>
      <c r="C28" t="s">
        <v>5</v>
      </c>
      <c r="D28" s="1">
        <v>2200011545586</v>
      </c>
      <c r="E28" t="s">
        <v>10</v>
      </c>
      <c r="F28" s="7">
        <v>21344</v>
      </c>
      <c r="G28" s="7">
        <v>1</v>
      </c>
      <c r="H28" t="s">
        <v>354</v>
      </c>
      <c r="I28" t="str">
        <f t="shared" si="0"/>
        <v>Z1-04  |  ZIPPY COMPACT 1000mAh 3S 3C | BATERIAS</v>
      </c>
      <c r="J28" s="19">
        <f t="shared" si="1"/>
        <v>1</v>
      </c>
    </row>
    <row r="29" spans="1:10" x14ac:dyDescent="0.25">
      <c r="A29" t="s">
        <v>332</v>
      </c>
      <c r="B29" s="6">
        <v>0</v>
      </c>
      <c r="C29" t="s">
        <v>328</v>
      </c>
      <c r="D29" s="1" t="s">
        <v>329</v>
      </c>
      <c r="E29" t="s">
        <v>10</v>
      </c>
      <c r="F29" s="7" t="s">
        <v>330</v>
      </c>
      <c r="G29" s="7">
        <v>1</v>
      </c>
      <c r="H29" t="s">
        <v>354</v>
      </c>
      <c r="I29" t="str">
        <f t="shared" si="0"/>
        <v>WATSON-1  |  BATERIA RECARGABLE WATSON B-4206 | BATERIAS</v>
      </c>
      <c r="J29" s="19">
        <f t="shared" si="1"/>
        <v>1</v>
      </c>
    </row>
    <row r="30" spans="1:10" x14ac:dyDescent="0.25">
      <c r="A30" t="s">
        <v>332</v>
      </c>
      <c r="B30" s="6">
        <v>0</v>
      </c>
      <c r="C30" t="s">
        <v>331</v>
      </c>
      <c r="D30" s="1" t="s">
        <v>23</v>
      </c>
      <c r="E30" t="s">
        <v>10</v>
      </c>
      <c r="F30" s="7" t="s">
        <v>333</v>
      </c>
      <c r="G30" s="7">
        <v>1</v>
      </c>
      <c r="H30" t="s">
        <v>354</v>
      </c>
      <c r="I30" t="str">
        <f t="shared" si="0"/>
        <v>WATSON-1  |  CARGADOR COMPACTO PARA BATERIA WATSON | BATERIAS</v>
      </c>
      <c r="J30" s="19">
        <f t="shared" si="1"/>
        <v>1</v>
      </c>
    </row>
    <row r="31" spans="1:10" x14ac:dyDescent="0.25">
      <c r="A31" t="s">
        <v>354</v>
      </c>
      <c r="B31" s="6">
        <v>14</v>
      </c>
      <c r="C31" t="s">
        <v>202</v>
      </c>
      <c r="D31" s="1" t="s">
        <v>23</v>
      </c>
      <c r="E31" t="s">
        <v>55</v>
      </c>
      <c r="F31" s="7" t="s">
        <v>23</v>
      </c>
      <c r="G31" s="7">
        <v>14</v>
      </c>
      <c r="H31" t="s">
        <v>354</v>
      </c>
      <c r="I31" t="str">
        <f t="shared" si="0"/>
        <v xml:space="preserve">   |  CABLE DE SERVO TIPO FUTABA MACHO-HEMBRA RECTOS 15 CM. | CABLES</v>
      </c>
      <c r="J31" s="19">
        <f t="shared" si="1"/>
        <v>28</v>
      </c>
    </row>
    <row r="32" spans="1:10" x14ac:dyDescent="0.25">
      <c r="A32" t="s">
        <v>354</v>
      </c>
      <c r="B32" s="6">
        <v>11</v>
      </c>
      <c r="C32" t="s">
        <v>203</v>
      </c>
      <c r="D32" s="1" t="s">
        <v>23</v>
      </c>
      <c r="E32" t="s">
        <v>55</v>
      </c>
      <c r="F32" s="7" t="s">
        <v>23</v>
      </c>
      <c r="G32" s="7">
        <v>11</v>
      </c>
      <c r="H32" t="s">
        <v>354</v>
      </c>
      <c r="I32" t="str">
        <f t="shared" si="0"/>
        <v xml:space="preserve">   |  CABLE DE SERVO TIPO FUTABA MACHO-HEMBRA TWISTED 15 CM.  | CABLES</v>
      </c>
      <c r="J32" s="19">
        <f t="shared" si="1"/>
        <v>22</v>
      </c>
    </row>
    <row r="33" spans="1:10" x14ac:dyDescent="0.25">
      <c r="A33" t="s">
        <v>354</v>
      </c>
      <c r="B33" s="6">
        <v>15</v>
      </c>
      <c r="C33" t="s">
        <v>201</v>
      </c>
      <c r="D33" s="1" t="s">
        <v>23</v>
      </c>
      <c r="E33" t="s">
        <v>55</v>
      </c>
      <c r="F33" s="7" t="s">
        <v>23</v>
      </c>
      <c r="G33" s="7">
        <v>15</v>
      </c>
      <c r="H33" t="s">
        <v>354</v>
      </c>
      <c r="I33" t="str">
        <f t="shared" si="0"/>
        <v xml:space="preserve">   |  CABLE DE SERVO TIPO FUTABA MACHO-HEMBRA TWISTED 30 CM.  | CABLES</v>
      </c>
      <c r="J33" s="19">
        <f t="shared" si="1"/>
        <v>30</v>
      </c>
    </row>
    <row r="34" spans="1:10" x14ac:dyDescent="0.25">
      <c r="A34" t="s">
        <v>233</v>
      </c>
      <c r="B34" s="6">
        <v>0</v>
      </c>
      <c r="C34" t="s">
        <v>232</v>
      </c>
      <c r="D34" s="1" t="s">
        <v>23</v>
      </c>
      <c r="E34" t="s">
        <v>55</v>
      </c>
      <c r="F34" s="7" t="s">
        <v>233</v>
      </c>
      <c r="G34" s="7" t="s">
        <v>355</v>
      </c>
      <c r="H34" t="s">
        <v>247</v>
      </c>
      <c r="I34" t="str">
        <f t="shared" ref="I34:I65" si="2">(A34&amp;"  |  "&amp;C34&amp;" | "&amp;E34)</f>
        <v>12AWG  |  CABLE DE SILICON NEGRO 12AWG | CABLES</v>
      </c>
      <c r="J34" s="19">
        <f t="shared" si="1"/>
        <v>0</v>
      </c>
    </row>
    <row r="35" spans="1:10" x14ac:dyDescent="0.25">
      <c r="A35" t="s">
        <v>236</v>
      </c>
      <c r="B35" s="6">
        <v>0</v>
      </c>
      <c r="C35" t="s">
        <v>237</v>
      </c>
      <c r="D35" s="1" t="s">
        <v>23</v>
      </c>
      <c r="E35" t="s">
        <v>55</v>
      </c>
      <c r="F35" s="7" t="s">
        <v>236</v>
      </c>
      <c r="G35" s="7" t="s">
        <v>355</v>
      </c>
      <c r="H35" t="s">
        <v>241</v>
      </c>
      <c r="I35" t="str">
        <f t="shared" si="2"/>
        <v>14AWG  |  CABLE DE SILICON NEGRO 14AWG | CABLES</v>
      </c>
      <c r="J35" s="19">
        <f t="shared" si="1"/>
        <v>0</v>
      </c>
    </row>
    <row r="36" spans="1:10" x14ac:dyDescent="0.25">
      <c r="A36" t="s">
        <v>245</v>
      </c>
      <c r="B36" s="6">
        <v>0</v>
      </c>
      <c r="C36" t="s">
        <v>246</v>
      </c>
      <c r="D36" s="1" t="s">
        <v>23</v>
      </c>
      <c r="E36" t="s">
        <v>55</v>
      </c>
      <c r="F36" s="7" t="s">
        <v>245</v>
      </c>
      <c r="G36" s="7" t="s">
        <v>355</v>
      </c>
      <c r="H36" t="s">
        <v>248</v>
      </c>
      <c r="I36" t="str">
        <f t="shared" si="2"/>
        <v>16AWG  |  CABLE DE SILICON NEGRO 16AWG | CABLES</v>
      </c>
      <c r="J36" s="19">
        <f t="shared" si="1"/>
        <v>0</v>
      </c>
    </row>
    <row r="37" spans="1:10" x14ac:dyDescent="0.25">
      <c r="A37" t="s">
        <v>235</v>
      </c>
      <c r="B37" s="6">
        <v>0</v>
      </c>
      <c r="C37" t="s">
        <v>234</v>
      </c>
      <c r="D37" s="1" t="s">
        <v>23</v>
      </c>
      <c r="E37" t="s">
        <v>55</v>
      </c>
      <c r="F37" s="7" t="s">
        <v>235</v>
      </c>
      <c r="G37" s="7" t="s">
        <v>355</v>
      </c>
      <c r="H37" t="s">
        <v>240</v>
      </c>
      <c r="I37" t="str">
        <f t="shared" si="2"/>
        <v>18AWG  |  CABLE DE SILICON NEGRO 18AWG | CABLES</v>
      </c>
      <c r="J37" s="19">
        <f t="shared" si="1"/>
        <v>0</v>
      </c>
    </row>
    <row r="38" spans="1:10" x14ac:dyDescent="0.25">
      <c r="A38" t="s">
        <v>239</v>
      </c>
      <c r="B38" s="6">
        <v>0</v>
      </c>
      <c r="C38" t="s">
        <v>238</v>
      </c>
      <c r="D38" s="1" t="s">
        <v>23</v>
      </c>
      <c r="E38" t="s">
        <v>55</v>
      </c>
      <c r="F38" s="7" t="s">
        <v>239</v>
      </c>
      <c r="G38" s="7" t="s">
        <v>355</v>
      </c>
      <c r="H38" t="s">
        <v>242</v>
      </c>
      <c r="I38" t="str">
        <f t="shared" si="2"/>
        <v>20AWG  |  CABLE DE SILICON NEGRO 20AWG | CABLES</v>
      </c>
      <c r="J38" s="19">
        <f t="shared" si="1"/>
        <v>0</v>
      </c>
    </row>
    <row r="39" spans="1:10" x14ac:dyDescent="0.25">
      <c r="A39" t="s">
        <v>243</v>
      </c>
      <c r="B39" s="6">
        <v>0</v>
      </c>
      <c r="C39" t="s">
        <v>244</v>
      </c>
      <c r="D39" s="1" t="s">
        <v>23</v>
      </c>
      <c r="E39" t="s">
        <v>55</v>
      </c>
      <c r="F39" s="7" t="s">
        <v>243</v>
      </c>
      <c r="G39" s="7" t="s">
        <v>355</v>
      </c>
      <c r="H39" t="s">
        <v>242</v>
      </c>
      <c r="I39" t="str">
        <f t="shared" si="2"/>
        <v>24AWG  |  CABLE DE SILICON NEGRO 24AWG | CABLES</v>
      </c>
      <c r="J39" s="19">
        <f t="shared" si="1"/>
        <v>0</v>
      </c>
    </row>
    <row r="40" spans="1:10" x14ac:dyDescent="0.25">
      <c r="A40" t="s">
        <v>64</v>
      </c>
      <c r="B40" s="6">
        <v>1</v>
      </c>
      <c r="C40" t="s">
        <v>65</v>
      </c>
      <c r="D40" s="1" t="s">
        <v>23</v>
      </c>
      <c r="E40" t="s">
        <v>55</v>
      </c>
      <c r="F40" s="7" t="s">
        <v>23</v>
      </c>
      <c r="G40" s="7">
        <v>1</v>
      </c>
      <c r="H40" t="s">
        <v>354</v>
      </c>
      <c r="I40" t="str">
        <f t="shared" si="2"/>
        <v>HDMI-Mm-01  |  CABLE HDMI UNIVERSAL-micro | CABLES</v>
      </c>
      <c r="J40" s="19">
        <f t="shared" si="1"/>
        <v>2</v>
      </c>
    </row>
    <row r="41" spans="1:10" x14ac:dyDescent="0.25">
      <c r="A41" t="s">
        <v>354</v>
      </c>
      <c r="B41" s="6">
        <v>3</v>
      </c>
      <c r="C41" t="s">
        <v>291</v>
      </c>
      <c r="D41" s="1" t="s">
        <v>23</v>
      </c>
      <c r="E41" t="s">
        <v>55</v>
      </c>
      <c r="F41" s="7" t="s">
        <v>23</v>
      </c>
      <c r="G41" s="7">
        <v>3</v>
      </c>
      <c r="H41" t="s">
        <v>354</v>
      </c>
      <c r="I41" t="str">
        <f t="shared" si="2"/>
        <v xml:space="preserve">   |  CABLE JR-MINI JST-XH | CABLES</v>
      </c>
      <c r="J41" s="19">
        <f t="shared" si="1"/>
        <v>6</v>
      </c>
    </row>
    <row r="42" spans="1:10" x14ac:dyDescent="0.25">
      <c r="A42" t="s">
        <v>53</v>
      </c>
      <c r="B42" s="6">
        <v>1</v>
      </c>
      <c r="C42" t="s">
        <v>54</v>
      </c>
      <c r="D42" s="1" t="s">
        <v>23</v>
      </c>
      <c r="E42" t="s">
        <v>55</v>
      </c>
      <c r="F42" s="7" t="s">
        <v>23</v>
      </c>
      <c r="G42" s="7">
        <v>1</v>
      </c>
      <c r="H42" t="s">
        <v>354</v>
      </c>
      <c r="I42" t="str">
        <f t="shared" si="2"/>
        <v>USB-UM-01  |  CABLE USB UNIVERSAL-microA | CABLES</v>
      </c>
      <c r="J42" s="19">
        <f t="shared" si="1"/>
        <v>2</v>
      </c>
    </row>
    <row r="43" spans="1:10" x14ac:dyDescent="0.25">
      <c r="A43" t="s">
        <v>56</v>
      </c>
      <c r="B43" s="6">
        <v>1</v>
      </c>
      <c r="C43" t="s">
        <v>54</v>
      </c>
      <c r="D43" s="1" t="s">
        <v>23</v>
      </c>
      <c r="E43" t="s">
        <v>55</v>
      </c>
      <c r="F43" s="7" t="s">
        <v>23</v>
      </c>
      <c r="G43" s="7">
        <v>1</v>
      </c>
      <c r="H43" t="s">
        <v>354</v>
      </c>
      <c r="I43" t="str">
        <f t="shared" si="2"/>
        <v>USB-UM-02  |  CABLE USB UNIVERSAL-microA | CABLES</v>
      </c>
      <c r="J43" s="19">
        <f t="shared" si="1"/>
        <v>2</v>
      </c>
    </row>
    <row r="44" spans="1:10" x14ac:dyDescent="0.25">
      <c r="A44" t="s">
        <v>57</v>
      </c>
      <c r="B44" s="6">
        <v>1</v>
      </c>
      <c r="C44" t="s">
        <v>54</v>
      </c>
      <c r="D44" s="1" t="s">
        <v>23</v>
      </c>
      <c r="E44" t="s">
        <v>55</v>
      </c>
      <c r="F44" s="7" t="s">
        <v>23</v>
      </c>
      <c r="G44" s="7">
        <v>1</v>
      </c>
      <c r="H44" t="s">
        <v>354</v>
      </c>
      <c r="I44" t="str">
        <f t="shared" si="2"/>
        <v>USB-UM-03  |  CABLE USB UNIVERSAL-microA | CABLES</v>
      </c>
      <c r="J44" s="19">
        <f t="shared" si="1"/>
        <v>2</v>
      </c>
    </row>
    <row r="45" spans="1:10" x14ac:dyDescent="0.25">
      <c r="A45" t="s">
        <v>58</v>
      </c>
      <c r="B45" s="6">
        <v>1</v>
      </c>
      <c r="C45" t="s">
        <v>54</v>
      </c>
      <c r="D45" s="1" t="s">
        <v>23</v>
      </c>
      <c r="E45" t="s">
        <v>55</v>
      </c>
      <c r="F45" s="7" t="s">
        <v>23</v>
      </c>
      <c r="G45" s="7">
        <v>1</v>
      </c>
      <c r="H45" t="s">
        <v>354</v>
      </c>
      <c r="I45" t="str">
        <f t="shared" si="2"/>
        <v>USB-UM-04  |  CABLE USB UNIVERSAL-microA | CABLES</v>
      </c>
      <c r="J45" s="19">
        <f t="shared" si="1"/>
        <v>2</v>
      </c>
    </row>
    <row r="46" spans="1:10" x14ac:dyDescent="0.25">
      <c r="A46" t="s">
        <v>59</v>
      </c>
      <c r="B46" s="6">
        <v>1</v>
      </c>
      <c r="C46" t="s">
        <v>54</v>
      </c>
      <c r="D46" s="1" t="s">
        <v>23</v>
      </c>
      <c r="E46" t="s">
        <v>55</v>
      </c>
      <c r="F46" s="7" t="s">
        <v>23</v>
      </c>
      <c r="G46" s="7">
        <v>1</v>
      </c>
      <c r="H46" t="s">
        <v>354</v>
      </c>
      <c r="I46" t="str">
        <f t="shared" si="2"/>
        <v>USB-UM-05  |  CABLE USB UNIVERSAL-microA | CABLES</v>
      </c>
      <c r="J46" s="19">
        <f t="shared" si="1"/>
        <v>2</v>
      </c>
    </row>
    <row r="47" spans="1:10" x14ac:dyDescent="0.25">
      <c r="A47" t="s">
        <v>60</v>
      </c>
      <c r="B47" s="6">
        <v>1</v>
      </c>
      <c r="C47" t="s">
        <v>54</v>
      </c>
      <c r="D47" s="1" t="s">
        <v>23</v>
      </c>
      <c r="E47" t="s">
        <v>55</v>
      </c>
      <c r="F47" s="7" t="s">
        <v>23</v>
      </c>
      <c r="G47" s="7">
        <v>1</v>
      </c>
      <c r="H47" t="s">
        <v>354</v>
      </c>
      <c r="I47" t="str">
        <f t="shared" si="2"/>
        <v>USB-UM-06  |  CABLE USB UNIVERSAL-microA | CABLES</v>
      </c>
      <c r="J47" s="19">
        <f t="shared" si="1"/>
        <v>2</v>
      </c>
    </row>
    <row r="48" spans="1:10" x14ac:dyDescent="0.25">
      <c r="A48" t="s">
        <v>61</v>
      </c>
      <c r="B48" s="6">
        <v>1</v>
      </c>
      <c r="C48" t="s">
        <v>62</v>
      </c>
      <c r="D48" s="1" t="s">
        <v>23</v>
      </c>
      <c r="E48" t="s">
        <v>55</v>
      </c>
      <c r="F48" s="7" t="s">
        <v>23</v>
      </c>
      <c r="G48" s="7">
        <v>1</v>
      </c>
      <c r="H48" t="s">
        <v>354</v>
      </c>
      <c r="I48" t="str">
        <f t="shared" si="2"/>
        <v>USB-Um-01  |  CABLE USB UNIVERSAL-microB | CABLES</v>
      </c>
      <c r="J48" s="19">
        <f t="shared" si="1"/>
        <v>2</v>
      </c>
    </row>
    <row r="49" spans="1:10" x14ac:dyDescent="0.25">
      <c r="A49" t="s">
        <v>63</v>
      </c>
      <c r="B49" s="6">
        <v>1</v>
      </c>
      <c r="C49" t="s">
        <v>62</v>
      </c>
      <c r="D49" s="1" t="s">
        <v>23</v>
      </c>
      <c r="E49" t="s">
        <v>55</v>
      </c>
      <c r="F49" s="7" t="s">
        <v>23</v>
      </c>
      <c r="G49" s="7">
        <v>1</v>
      </c>
      <c r="H49" t="s">
        <v>354</v>
      </c>
      <c r="I49" t="str">
        <f t="shared" si="2"/>
        <v>USB-Um-02  |  CABLE USB UNIVERSAL-microB | CABLES</v>
      </c>
      <c r="J49" s="19">
        <f t="shared" si="1"/>
        <v>2</v>
      </c>
    </row>
    <row r="50" spans="1:10" x14ac:dyDescent="0.25">
      <c r="A50" t="s">
        <v>293</v>
      </c>
      <c r="B50" s="6">
        <v>4</v>
      </c>
      <c r="C50" t="s">
        <v>292</v>
      </c>
      <c r="D50" s="1" t="s">
        <v>23</v>
      </c>
      <c r="E50" t="s">
        <v>55</v>
      </c>
      <c r="F50" s="7" t="s">
        <v>23</v>
      </c>
      <c r="G50" s="7">
        <v>4</v>
      </c>
      <c r="H50" t="s">
        <v>354</v>
      </c>
      <c r="I50" t="str">
        <f t="shared" si="2"/>
        <v>DJI-LB-0X  |  KIT DE CABLES DJI | CABLES</v>
      </c>
      <c r="J50" s="19">
        <f t="shared" si="1"/>
        <v>8</v>
      </c>
    </row>
    <row r="51" spans="1:10" x14ac:dyDescent="0.25">
      <c r="A51" t="s">
        <v>354</v>
      </c>
      <c r="B51" s="6">
        <v>4</v>
      </c>
      <c r="C51" t="s">
        <v>249</v>
      </c>
      <c r="D51" s="1" t="s">
        <v>354</v>
      </c>
      <c r="E51" t="s">
        <v>55</v>
      </c>
      <c r="F51" s="7" t="s">
        <v>23</v>
      </c>
      <c r="G51" s="7">
        <v>4</v>
      </c>
      <c r="H51" t="s">
        <v>351</v>
      </c>
      <c r="I51" t="str">
        <f t="shared" si="2"/>
        <v xml:space="preserve">   |  USB GIMBAL UNIVERSAL-MICRO | CABLES</v>
      </c>
      <c r="J51" s="19">
        <f t="shared" si="1"/>
        <v>8</v>
      </c>
    </row>
    <row r="52" spans="1:10" x14ac:dyDescent="0.25">
      <c r="A52" t="s">
        <v>73</v>
      </c>
      <c r="B52" s="6">
        <v>0</v>
      </c>
      <c r="C52" t="s">
        <v>74</v>
      </c>
      <c r="D52" s="1" t="s">
        <v>75</v>
      </c>
      <c r="E52" t="s">
        <v>76</v>
      </c>
      <c r="F52" s="7" t="s">
        <v>77</v>
      </c>
      <c r="G52" s="7">
        <v>1</v>
      </c>
      <c r="H52" t="s">
        <v>78</v>
      </c>
      <c r="I52" t="str">
        <f t="shared" si="2"/>
        <v>GPH3-01  |  CAMARA GOPRO HERO 3  | CAMARA</v>
      </c>
      <c r="J52" s="19">
        <f t="shared" si="1"/>
        <v>1</v>
      </c>
    </row>
    <row r="53" spans="1:10" x14ac:dyDescent="0.25">
      <c r="A53" t="s">
        <v>79</v>
      </c>
      <c r="B53" s="6">
        <v>0</v>
      </c>
      <c r="C53" t="s">
        <v>80</v>
      </c>
      <c r="D53" s="1">
        <v>2183146</v>
      </c>
      <c r="E53" t="s">
        <v>76</v>
      </c>
      <c r="F53" s="7" t="s">
        <v>81</v>
      </c>
      <c r="G53" s="7">
        <v>1</v>
      </c>
      <c r="H53" t="s">
        <v>82</v>
      </c>
      <c r="I53" t="str">
        <f t="shared" si="2"/>
        <v>SONY NEX-7  |  CAMARA SONY NEX-7 24.3 MPX | CAMARA</v>
      </c>
      <c r="J53" s="19">
        <f t="shared" si="1"/>
        <v>1</v>
      </c>
    </row>
    <row r="54" spans="1:10" x14ac:dyDescent="0.25">
      <c r="A54" t="s">
        <v>83</v>
      </c>
      <c r="B54" s="6">
        <v>0</v>
      </c>
      <c r="C54" t="s">
        <v>84</v>
      </c>
      <c r="D54" s="1" t="s">
        <v>23</v>
      </c>
      <c r="E54" t="s">
        <v>76</v>
      </c>
      <c r="F54" s="7" t="s">
        <v>81</v>
      </c>
      <c r="G54" s="7">
        <v>1</v>
      </c>
      <c r="H54" t="s">
        <v>85</v>
      </c>
      <c r="I54" t="str">
        <f t="shared" si="2"/>
        <v>L1-NEX-7  |  LENTE OPTICAL STEADYSHOT FOR SONY NEX-7 | CAMARA</v>
      </c>
      <c r="J54" s="19">
        <f t="shared" si="1"/>
        <v>1</v>
      </c>
    </row>
    <row r="55" spans="1:10" x14ac:dyDescent="0.25">
      <c r="A55" t="s">
        <v>86</v>
      </c>
      <c r="B55" s="6">
        <v>0</v>
      </c>
      <c r="C55" t="s">
        <v>87</v>
      </c>
      <c r="D55" s="1" t="s">
        <v>88</v>
      </c>
      <c r="E55" t="s">
        <v>89</v>
      </c>
      <c r="F55" s="7" t="s">
        <v>90</v>
      </c>
      <c r="G55" s="7">
        <v>1</v>
      </c>
      <c r="H55" t="s">
        <v>91</v>
      </c>
      <c r="I55" t="str">
        <f t="shared" si="2"/>
        <v>CARGST-01  |  CARGADOR BATERIAS TIPO C MARCA STEREN | CARGADOR</v>
      </c>
      <c r="J55" s="19">
        <f t="shared" si="1"/>
        <v>1</v>
      </c>
    </row>
    <row r="56" spans="1:10" x14ac:dyDescent="0.25">
      <c r="A56" t="s">
        <v>52</v>
      </c>
      <c r="B56" s="6">
        <v>1</v>
      </c>
      <c r="C56" t="s">
        <v>46</v>
      </c>
      <c r="D56" s="1" t="s">
        <v>47</v>
      </c>
      <c r="E56" t="s">
        <v>37</v>
      </c>
      <c r="F56" s="7" t="s">
        <v>48</v>
      </c>
      <c r="G56" s="7">
        <v>1</v>
      </c>
      <c r="H56" t="s">
        <v>354</v>
      </c>
      <c r="I56" t="str">
        <f t="shared" si="2"/>
        <v>PHANTOM4-01  |  CONTROL REMOTO PHANTOM 4 | CONTROL</v>
      </c>
      <c r="J56" s="19">
        <f t="shared" si="1"/>
        <v>2</v>
      </c>
    </row>
    <row r="57" spans="1:10" x14ac:dyDescent="0.25">
      <c r="A57" t="s">
        <v>49</v>
      </c>
      <c r="B57" s="6">
        <v>1</v>
      </c>
      <c r="C57" t="s">
        <v>35</v>
      </c>
      <c r="D57" s="1" t="s">
        <v>36</v>
      </c>
      <c r="E57" t="s">
        <v>37</v>
      </c>
      <c r="F57" s="7" t="s">
        <v>38</v>
      </c>
      <c r="G57" s="7">
        <v>1</v>
      </c>
      <c r="H57" t="s">
        <v>39</v>
      </c>
      <c r="I57" t="str">
        <f t="shared" si="2"/>
        <v>TARANIS-01  |  CONTROL REMOTO TARANIS X9D | CONTROL</v>
      </c>
      <c r="J57" s="19">
        <f t="shared" si="1"/>
        <v>2</v>
      </c>
    </row>
    <row r="58" spans="1:10" x14ac:dyDescent="0.25">
      <c r="A58" t="s">
        <v>50</v>
      </c>
      <c r="B58" s="6">
        <v>1</v>
      </c>
      <c r="C58" t="s">
        <v>35</v>
      </c>
      <c r="D58" s="1" t="s">
        <v>40</v>
      </c>
      <c r="E58" t="s">
        <v>37</v>
      </c>
      <c r="F58" s="7" t="s">
        <v>38</v>
      </c>
      <c r="G58" s="7">
        <v>1</v>
      </c>
      <c r="H58" t="s">
        <v>41</v>
      </c>
      <c r="I58" t="str">
        <f t="shared" si="2"/>
        <v>TARANIS-02  |  CONTROL REMOTO TARANIS X9D | CONTROL</v>
      </c>
      <c r="J58" s="19">
        <f t="shared" si="1"/>
        <v>2</v>
      </c>
    </row>
    <row r="59" spans="1:10" x14ac:dyDescent="0.25">
      <c r="A59" t="s">
        <v>51</v>
      </c>
      <c r="B59" s="6">
        <v>1</v>
      </c>
      <c r="C59" t="s">
        <v>42</v>
      </c>
      <c r="D59" s="1" t="s">
        <v>43</v>
      </c>
      <c r="E59" t="s">
        <v>37</v>
      </c>
      <c r="F59" s="7" t="s">
        <v>44</v>
      </c>
      <c r="G59" s="7">
        <v>1</v>
      </c>
      <c r="H59" t="s">
        <v>45</v>
      </c>
      <c r="I59" t="str">
        <f t="shared" si="2"/>
        <v>TURNIGY-01  |  CONTROL REMOTO TURNIGY FS-I6s | CONTROL</v>
      </c>
      <c r="J59" s="19">
        <f t="shared" si="1"/>
        <v>2</v>
      </c>
    </row>
    <row r="60" spans="1:10" x14ac:dyDescent="0.25">
      <c r="A60" t="s">
        <v>228</v>
      </c>
      <c r="B60" s="6">
        <v>0</v>
      </c>
      <c r="C60" t="s">
        <v>229</v>
      </c>
      <c r="D60" s="1" t="s">
        <v>23</v>
      </c>
      <c r="E60" t="s">
        <v>205</v>
      </c>
      <c r="F60" s="7" t="s">
        <v>23</v>
      </c>
      <c r="G60" s="7">
        <v>5</v>
      </c>
      <c r="H60" t="s">
        <v>354</v>
      </c>
      <c r="I60" t="str">
        <f t="shared" si="2"/>
        <v>JST-XH 2S-6S-XX  |  ADAPTADOR P/BATERIA JST-XH 2S-6S | ELECTRONICA</v>
      </c>
      <c r="J60" s="19">
        <f t="shared" si="1"/>
        <v>5</v>
      </c>
    </row>
    <row r="61" spans="1:10" x14ac:dyDescent="0.25">
      <c r="A61" t="s">
        <v>230</v>
      </c>
      <c r="B61" s="6">
        <v>0</v>
      </c>
      <c r="C61" t="s">
        <v>231</v>
      </c>
      <c r="D61" s="1" t="s">
        <v>23</v>
      </c>
      <c r="E61" t="s">
        <v>205</v>
      </c>
      <c r="F61" s="7" t="s">
        <v>23</v>
      </c>
      <c r="G61" s="7">
        <v>5</v>
      </c>
      <c r="H61" t="s">
        <v>354</v>
      </c>
      <c r="I61" t="str">
        <f t="shared" si="2"/>
        <v>TP-FP-XX  |  ADAPTADOR P/BATERIA TP-FP | ELECTRONICA</v>
      </c>
      <c r="J61" s="19">
        <f t="shared" ref="J61:J122" si="3">SUM(B61,G61)</f>
        <v>5</v>
      </c>
    </row>
    <row r="62" spans="1:10" x14ac:dyDescent="0.25">
      <c r="A62" t="s">
        <v>225</v>
      </c>
      <c r="B62" s="6">
        <v>0</v>
      </c>
      <c r="C62" t="s">
        <v>224</v>
      </c>
      <c r="D62" s="1" t="s">
        <v>23</v>
      </c>
      <c r="E62" t="s">
        <v>205</v>
      </c>
      <c r="F62" s="7" t="s">
        <v>23</v>
      </c>
      <c r="G62" s="7">
        <v>1</v>
      </c>
      <c r="H62" t="s">
        <v>354</v>
      </c>
      <c r="I62" t="str">
        <f t="shared" si="2"/>
        <v>PARALELO JR-XH  |  ADAPTADOR P/CARGA PARALELO JR-XH | ELECTRONICA</v>
      </c>
      <c r="J62" s="19">
        <f t="shared" si="3"/>
        <v>1</v>
      </c>
    </row>
    <row r="63" spans="1:10" x14ac:dyDescent="0.25">
      <c r="A63" t="s">
        <v>354</v>
      </c>
      <c r="B63" s="6">
        <v>0</v>
      </c>
      <c r="C63" t="s">
        <v>215</v>
      </c>
      <c r="D63" s="1" t="s">
        <v>23</v>
      </c>
      <c r="E63" t="s">
        <v>205</v>
      </c>
      <c r="F63" s="7" t="s">
        <v>23</v>
      </c>
      <c r="G63" s="7">
        <v>1</v>
      </c>
      <c r="H63" t="s">
        <v>354</v>
      </c>
      <c r="I63" t="str">
        <f t="shared" si="2"/>
        <v xml:space="preserve">   |  ADAPTADOR TAMILLA MACHO 4MM. | ELECTRONICA</v>
      </c>
      <c r="J63" s="19">
        <f t="shared" si="3"/>
        <v>1</v>
      </c>
    </row>
    <row r="64" spans="1:10" x14ac:dyDescent="0.25">
      <c r="A64" t="s">
        <v>354</v>
      </c>
      <c r="B64" s="6">
        <v>0</v>
      </c>
      <c r="C64" t="s">
        <v>226</v>
      </c>
      <c r="D64" s="1" t="s">
        <v>23</v>
      </c>
      <c r="E64" t="s">
        <v>205</v>
      </c>
      <c r="F64" s="7" t="s">
        <v>23</v>
      </c>
      <c r="G64" s="7">
        <v>1</v>
      </c>
      <c r="H64" t="s">
        <v>354</v>
      </c>
      <c r="I64" t="str">
        <f t="shared" si="2"/>
        <v xml:space="preserve">   |  CONECTOR BANANA-FUTABA P/CARGADOR | ELECTRONICA</v>
      </c>
      <c r="J64" s="19">
        <f t="shared" si="3"/>
        <v>1</v>
      </c>
    </row>
    <row r="65" spans="1:11" x14ac:dyDescent="0.25">
      <c r="A65" t="s">
        <v>354</v>
      </c>
      <c r="B65" s="6">
        <v>0</v>
      </c>
      <c r="C65" t="s">
        <v>227</v>
      </c>
      <c r="D65" s="1" t="s">
        <v>23</v>
      </c>
      <c r="E65" t="s">
        <v>205</v>
      </c>
      <c r="F65" s="7" t="s">
        <v>23</v>
      </c>
      <c r="G65" s="7">
        <v>1</v>
      </c>
      <c r="H65" t="s">
        <v>354</v>
      </c>
      <c r="I65" t="str">
        <f t="shared" si="2"/>
        <v xml:space="preserve">   |  CONECTOR BANANA-JST P/CARGADOR | ELECTRONICA</v>
      </c>
      <c r="J65" s="19">
        <f t="shared" si="3"/>
        <v>1</v>
      </c>
    </row>
    <row r="66" spans="1:11" x14ac:dyDescent="0.25">
      <c r="A66" t="s">
        <v>354</v>
      </c>
      <c r="B66" s="6">
        <v>32</v>
      </c>
      <c r="C66" t="s">
        <v>223</v>
      </c>
      <c r="D66" s="1" t="s">
        <v>23</v>
      </c>
      <c r="E66" t="s">
        <v>205</v>
      </c>
      <c r="F66" s="7" t="s">
        <v>23</v>
      </c>
      <c r="G66" s="7">
        <v>32</v>
      </c>
      <c r="H66" t="s">
        <v>354</v>
      </c>
      <c r="I66" t="str">
        <f t="shared" ref="I66:I97" si="4">(A66&amp;"  |  "&amp;C66&amp;" | "&amp;E66)</f>
        <v xml:space="preserve">   |  CONECTOR JR FUTABA DJI TWISTED 7 CM. | ELECTRONICA</v>
      </c>
      <c r="J66" s="19">
        <f t="shared" si="3"/>
        <v>64</v>
      </c>
    </row>
    <row r="67" spans="1:11" x14ac:dyDescent="0.25">
      <c r="A67" t="s">
        <v>354</v>
      </c>
      <c r="B67" s="6">
        <v>20</v>
      </c>
      <c r="C67" t="s">
        <v>213</v>
      </c>
      <c r="D67" s="1" t="s">
        <v>23</v>
      </c>
      <c r="E67" t="s">
        <v>205</v>
      </c>
      <c r="F67" s="7" t="s">
        <v>23</v>
      </c>
      <c r="G67" s="7">
        <v>20</v>
      </c>
      <c r="H67" t="s">
        <v>354</v>
      </c>
      <c r="I67" t="str">
        <f t="shared" si="4"/>
        <v xml:space="preserve">   |  CONECTOR JST MACHO | ELECTRONICA</v>
      </c>
      <c r="J67" s="19">
        <f t="shared" si="3"/>
        <v>40</v>
      </c>
    </row>
    <row r="68" spans="1:11" x14ac:dyDescent="0.25">
      <c r="A68" t="s">
        <v>354</v>
      </c>
      <c r="B68" s="6">
        <v>20</v>
      </c>
      <c r="C68" t="s">
        <v>214</v>
      </c>
      <c r="D68" s="1" t="s">
        <v>23</v>
      </c>
      <c r="E68" t="s">
        <v>205</v>
      </c>
      <c r="F68" s="7" t="s">
        <v>23</v>
      </c>
      <c r="G68" s="7">
        <v>20</v>
      </c>
      <c r="H68" t="s">
        <v>354</v>
      </c>
      <c r="I68" t="str">
        <f t="shared" si="4"/>
        <v xml:space="preserve">   |  CONECTOR JST MACHO C/CABLE 10 CM. | ELECTRONICA</v>
      </c>
      <c r="J68" s="19">
        <f t="shared" si="3"/>
        <v>40</v>
      </c>
    </row>
    <row r="69" spans="1:11" x14ac:dyDescent="0.25">
      <c r="A69" t="s">
        <v>354</v>
      </c>
      <c r="B69" s="6">
        <v>20</v>
      </c>
      <c r="C69" t="s">
        <v>207</v>
      </c>
      <c r="D69" s="1" t="s">
        <v>23</v>
      </c>
      <c r="E69" t="s">
        <v>205</v>
      </c>
      <c r="F69" s="7" t="s">
        <v>23</v>
      </c>
      <c r="G69" s="7">
        <v>20</v>
      </c>
      <c r="H69" t="s">
        <v>354</v>
      </c>
      <c r="I69" t="str">
        <f t="shared" si="4"/>
        <v xml:space="preserve">   |  CONECTOR JST-XH HEMBRA | ELECTRONICA</v>
      </c>
      <c r="J69" s="19">
        <f t="shared" si="3"/>
        <v>40</v>
      </c>
    </row>
    <row r="70" spans="1:11" x14ac:dyDescent="0.25">
      <c r="A70" t="s">
        <v>354</v>
      </c>
      <c r="B70" s="6">
        <v>45</v>
      </c>
      <c r="C70" t="s">
        <v>206</v>
      </c>
      <c r="D70" s="1" t="s">
        <v>23</v>
      </c>
      <c r="E70" t="s">
        <v>205</v>
      </c>
      <c r="F70" s="7" t="s">
        <v>23</v>
      </c>
      <c r="G70" s="7">
        <v>45</v>
      </c>
      <c r="H70" t="s">
        <v>354</v>
      </c>
      <c r="I70" t="str">
        <f t="shared" si="4"/>
        <v xml:space="preserve">   |  CONECTOR JST-XH MACHO | ELECTRONICA</v>
      </c>
      <c r="J70" s="19">
        <f t="shared" si="3"/>
        <v>90</v>
      </c>
    </row>
    <row r="71" spans="1:11" x14ac:dyDescent="0.25">
      <c r="A71" t="s">
        <v>354</v>
      </c>
      <c r="B71" s="6">
        <v>90</v>
      </c>
      <c r="C71" t="s">
        <v>218</v>
      </c>
      <c r="D71" s="1" t="s">
        <v>23</v>
      </c>
      <c r="E71" t="s">
        <v>205</v>
      </c>
      <c r="F71" s="7" t="s">
        <v>23</v>
      </c>
      <c r="G71" s="7">
        <v>90</v>
      </c>
      <c r="H71" t="s">
        <v>354</v>
      </c>
      <c r="I71" t="str">
        <f t="shared" si="4"/>
        <v xml:space="preserve">   |  CONECTOR TIPO BANANA GOLD 3 MM. HEMBRA | ELECTRONICA</v>
      </c>
      <c r="J71" s="19">
        <f t="shared" si="3"/>
        <v>180</v>
      </c>
    </row>
    <row r="72" spans="1:11" x14ac:dyDescent="0.25">
      <c r="A72" t="s">
        <v>354</v>
      </c>
      <c r="B72" s="6">
        <v>23</v>
      </c>
      <c r="C72" t="s">
        <v>219</v>
      </c>
      <c r="D72" s="1" t="s">
        <v>23</v>
      </c>
      <c r="E72" t="s">
        <v>205</v>
      </c>
      <c r="F72" s="7" t="s">
        <v>23</v>
      </c>
      <c r="G72" s="7">
        <v>23</v>
      </c>
      <c r="H72" t="s">
        <v>354</v>
      </c>
      <c r="I72" t="str">
        <f t="shared" si="4"/>
        <v xml:space="preserve">   |  CONECTOR TIPO BANANA GOLD 3 MM. MACHO | ELECTRONICA</v>
      </c>
      <c r="J72" s="19">
        <f t="shared" si="3"/>
        <v>46</v>
      </c>
    </row>
    <row r="73" spans="1:11" x14ac:dyDescent="0.25">
      <c r="A73" t="s">
        <v>354</v>
      </c>
      <c r="B73" s="6">
        <v>10</v>
      </c>
      <c r="C73" t="s">
        <v>216</v>
      </c>
      <c r="D73" s="1" t="s">
        <v>23</v>
      </c>
      <c r="E73" t="s">
        <v>205</v>
      </c>
      <c r="F73" s="7" t="s">
        <v>23</v>
      </c>
      <c r="G73" s="7">
        <v>10</v>
      </c>
      <c r="H73" t="s">
        <v>354</v>
      </c>
      <c r="I73" t="str">
        <f t="shared" si="4"/>
        <v xml:space="preserve">   |  CONECTOR TIPO BANANA GOLD 4 MM. HEMBRA | ELECTRONICA</v>
      </c>
      <c r="J73" s="19">
        <f t="shared" si="3"/>
        <v>20</v>
      </c>
    </row>
    <row r="74" spans="1:11" x14ac:dyDescent="0.25">
      <c r="A74" t="s">
        <v>354</v>
      </c>
      <c r="B74" s="6">
        <v>5</v>
      </c>
      <c r="C74" t="s">
        <v>217</v>
      </c>
      <c r="D74" s="1" t="s">
        <v>23</v>
      </c>
      <c r="E74" t="s">
        <v>205</v>
      </c>
      <c r="F74" s="7" t="s">
        <v>23</v>
      </c>
      <c r="G74" s="7">
        <v>5</v>
      </c>
      <c r="H74" t="s">
        <v>354</v>
      </c>
      <c r="I74" t="str">
        <f t="shared" si="4"/>
        <v xml:space="preserve">   |  CONECTOR TIPO BANANA GOLD 4 MM. MACHO | ELECTRONICA</v>
      </c>
      <c r="J74" s="19">
        <f t="shared" si="3"/>
        <v>10</v>
      </c>
    </row>
    <row r="75" spans="1:11" x14ac:dyDescent="0.25">
      <c r="A75" t="s">
        <v>354</v>
      </c>
      <c r="B75" s="6">
        <v>15</v>
      </c>
      <c r="C75" t="s">
        <v>210</v>
      </c>
      <c r="D75" s="1" t="s">
        <v>23</v>
      </c>
      <c r="E75" t="s">
        <v>205</v>
      </c>
      <c r="F75" s="7" t="s">
        <v>23</v>
      </c>
      <c r="G75" s="7">
        <v>15</v>
      </c>
      <c r="H75" t="s">
        <v>354</v>
      </c>
      <c r="I75" t="str">
        <f t="shared" si="4"/>
        <v xml:space="preserve">   |  CONECTOR TP-FP 4S | ELECTRONICA</v>
      </c>
      <c r="J75" s="19">
        <f t="shared" si="3"/>
        <v>30</v>
      </c>
    </row>
    <row r="76" spans="1:11" x14ac:dyDescent="0.25">
      <c r="A76" t="s">
        <v>354</v>
      </c>
      <c r="B76" s="6">
        <v>12</v>
      </c>
      <c r="C76" t="s">
        <v>208</v>
      </c>
      <c r="D76" s="1" t="s">
        <v>23</v>
      </c>
      <c r="E76" t="s">
        <v>205</v>
      </c>
      <c r="F76" s="7" t="s">
        <v>23</v>
      </c>
      <c r="G76" s="7">
        <v>12</v>
      </c>
      <c r="H76" t="s">
        <v>354</v>
      </c>
      <c r="I76" t="str">
        <f t="shared" si="4"/>
        <v xml:space="preserve">   |  CONECTOR XT60 HEMBRA | ELECTRONICA</v>
      </c>
      <c r="J76" s="19">
        <f t="shared" si="3"/>
        <v>24</v>
      </c>
    </row>
    <row r="77" spans="1:11" x14ac:dyDescent="0.25">
      <c r="A77" t="s">
        <v>354</v>
      </c>
      <c r="B77" s="6">
        <v>60</v>
      </c>
      <c r="C77" t="s">
        <v>212</v>
      </c>
      <c r="D77" s="1" t="s">
        <v>354</v>
      </c>
      <c r="E77" t="s">
        <v>205</v>
      </c>
      <c r="F77" s="7" t="s">
        <v>23</v>
      </c>
      <c r="G77" s="7">
        <v>60</v>
      </c>
      <c r="H77" t="s">
        <v>354</v>
      </c>
      <c r="I77" t="str">
        <f t="shared" si="4"/>
        <v xml:space="preserve">   |  TERMINAL DE SERVO JR HEMBRA | ELECTRONICA</v>
      </c>
      <c r="J77" s="19">
        <f t="shared" si="3"/>
        <v>120</v>
      </c>
    </row>
    <row r="78" spans="1:11" x14ac:dyDescent="0.25">
      <c r="A78" t="s">
        <v>354</v>
      </c>
      <c r="B78" s="6">
        <v>60</v>
      </c>
      <c r="C78" t="s">
        <v>211</v>
      </c>
      <c r="D78" s="1" t="s">
        <v>354</v>
      </c>
      <c r="E78" t="s">
        <v>205</v>
      </c>
      <c r="F78" s="7" t="s">
        <v>23</v>
      </c>
      <c r="G78" s="7">
        <v>60</v>
      </c>
      <c r="H78" t="s">
        <v>354</v>
      </c>
      <c r="I78" t="str">
        <f t="shared" si="4"/>
        <v xml:space="preserve">   |  TERMINAL DE SERVO JR MACHO | ELECTRONICA</v>
      </c>
      <c r="J78" s="19">
        <f t="shared" si="3"/>
        <v>120</v>
      </c>
    </row>
    <row r="79" spans="1:11" x14ac:dyDescent="0.25">
      <c r="A79" t="s">
        <v>354</v>
      </c>
      <c r="B79" s="6">
        <v>17</v>
      </c>
      <c r="C79" t="s">
        <v>204</v>
      </c>
      <c r="D79" s="1" t="s">
        <v>354</v>
      </c>
      <c r="E79" t="s">
        <v>205</v>
      </c>
      <c r="F79" s="7" t="s">
        <v>23</v>
      </c>
      <c r="G79" s="7">
        <v>17</v>
      </c>
      <c r="H79" t="s">
        <v>354</v>
      </c>
      <c r="I79" t="str">
        <f t="shared" si="4"/>
        <v xml:space="preserve">   |  XT90 HEMBRA | ELECTRONICA</v>
      </c>
      <c r="J79" s="19">
        <f t="shared" si="3"/>
        <v>34</v>
      </c>
    </row>
    <row r="80" spans="1:11" x14ac:dyDescent="0.25">
      <c r="A80" s="10" t="s">
        <v>354</v>
      </c>
      <c r="B80" s="9">
        <v>0</v>
      </c>
      <c r="C80" s="10" t="s">
        <v>209</v>
      </c>
      <c r="D80" s="11" t="s">
        <v>354</v>
      </c>
      <c r="E80" s="10" t="s">
        <v>205</v>
      </c>
      <c r="F80" s="12" t="s">
        <v>23</v>
      </c>
      <c r="G80" s="12">
        <v>0</v>
      </c>
      <c r="H80" s="10" t="s">
        <v>354</v>
      </c>
      <c r="I80" s="10" t="str">
        <f t="shared" si="4"/>
        <v xml:space="preserve">   |  XT90 MACHO | ELECTRONICA</v>
      </c>
      <c r="J80" s="20">
        <f t="shared" si="3"/>
        <v>0</v>
      </c>
      <c r="K80" s="10"/>
    </row>
    <row r="81" spans="1:10" x14ac:dyDescent="0.25">
      <c r="A81" t="s">
        <v>70</v>
      </c>
      <c r="B81" s="6">
        <v>1</v>
      </c>
      <c r="C81" t="s">
        <v>71</v>
      </c>
      <c r="D81" s="1" t="s">
        <v>23</v>
      </c>
      <c r="E81" t="s">
        <v>68</v>
      </c>
      <c r="F81" s="7" t="s">
        <v>72</v>
      </c>
      <c r="G81" s="7">
        <v>1</v>
      </c>
      <c r="H81" t="s">
        <v>354</v>
      </c>
      <c r="I81" t="str">
        <f t="shared" si="4"/>
        <v>Feiyu 3D - 01  |  GIMBAL FEIYU MINI 3D | GIMBAL</v>
      </c>
      <c r="J81" s="19">
        <f t="shared" si="3"/>
        <v>2</v>
      </c>
    </row>
    <row r="82" spans="1:10" x14ac:dyDescent="0.25">
      <c r="A82" t="s">
        <v>66</v>
      </c>
      <c r="B82" s="6">
        <v>2</v>
      </c>
      <c r="C82" t="s">
        <v>67</v>
      </c>
      <c r="D82" s="1" t="s">
        <v>23</v>
      </c>
      <c r="E82" t="s">
        <v>68</v>
      </c>
      <c r="F82" s="7" t="s">
        <v>69</v>
      </c>
      <c r="G82" s="7">
        <v>2</v>
      </c>
      <c r="H82" t="s">
        <v>354</v>
      </c>
      <c r="I82" t="str">
        <f t="shared" si="4"/>
        <v>Feiyu 3D PRO-01  |  GIMBAL FEIYU MINI 3D PRO | GIMBAL</v>
      </c>
      <c r="J82" s="19">
        <f t="shared" si="3"/>
        <v>4</v>
      </c>
    </row>
    <row r="83" spans="1:10" x14ac:dyDescent="0.25">
      <c r="A83" t="s">
        <v>354</v>
      </c>
      <c r="B83" s="6">
        <v>4</v>
      </c>
      <c r="C83" t="s">
        <v>326</v>
      </c>
      <c r="D83" s="1" t="s">
        <v>23</v>
      </c>
      <c r="E83" t="s">
        <v>68</v>
      </c>
      <c r="F83" s="7" t="s">
        <v>23</v>
      </c>
      <c r="G83" s="7">
        <v>4</v>
      </c>
      <c r="H83" t="s">
        <v>351</v>
      </c>
      <c r="I83" t="str">
        <f t="shared" si="4"/>
        <v xml:space="preserve">   |  USB-UART ADAPTADOR GIMBAL | GIMBAL</v>
      </c>
      <c r="J83" s="19">
        <f t="shared" si="3"/>
        <v>8</v>
      </c>
    </row>
    <row r="84" spans="1:10" x14ac:dyDescent="0.25">
      <c r="A84" t="s">
        <v>354</v>
      </c>
      <c r="B84" s="6">
        <v>4</v>
      </c>
      <c r="C84" t="s">
        <v>290</v>
      </c>
      <c r="D84" s="1" t="s">
        <v>23</v>
      </c>
      <c r="E84" t="s">
        <v>283</v>
      </c>
      <c r="F84" s="7" t="s">
        <v>23</v>
      </c>
      <c r="G84" s="7">
        <v>4</v>
      </c>
      <c r="H84" t="s">
        <v>354</v>
      </c>
      <c r="I84" t="str">
        <f t="shared" si="4"/>
        <v xml:space="preserve">   |  ANTENA AOMWAY FORMA TREBOL 5.8G ONMIDIRECCIONAL 3 dB. | HARDWARE</v>
      </c>
      <c r="J84" s="19">
        <f t="shared" si="3"/>
        <v>8</v>
      </c>
    </row>
    <row r="85" spans="1:10" x14ac:dyDescent="0.25">
      <c r="A85" t="s">
        <v>354</v>
      </c>
      <c r="B85" s="6">
        <v>2</v>
      </c>
      <c r="C85" t="s">
        <v>289</v>
      </c>
      <c r="D85" s="1" t="s">
        <v>23</v>
      </c>
      <c r="E85" t="s">
        <v>283</v>
      </c>
      <c r="F85" s="7" t="s">
        <v>288</v>
      </c>
      <c r="G85" s="7">
        <v>2</v>
      </c>
      <c r="H85" t="s">
        <v>354</v>
      </c>
      <c r="I85" t="str">
        <f t="shared" si="4"/>
        <v xml:space="preserve">   |  ANTENA CONICA AOMWAY 5.8 G HELICOIDAL 11 dB. | HARDWARE</v>
      </c>
      <c r="J85" s="19">
        <f t="shared" si="3"/>
        <v>4</v>
      </c>
    </row>
    <row r="86" spans="1:10" x14ac:dyDescent="0.25">
      <c r="A86" t="s">
        <v>301</v>
      </c>
      <c r="B86" s="6">
        <v>1</v>
      </c>
      <c r="C86" t="s">
        <v>298</v>
      </c>
      <c r="D86" s="1" t="s">
        <v>300</v>
      </c>
      <c r="E86" t="s">
        <v>283</v>
      </c>
      <c r="F86" s="7" t="s">
        <v>299</v>
      </c>
      <c r="G86" s="7">
        <v>1</v>
      </c>
      <c r="H86" t="s">
        <v>302</v>
      </c>
      <c r="I86" t="str">
        <f t="shared" si="4"/>
        <v>PixH-01  |  CONTROLADOR DE VUELO PIXHAWK | HARDWARE</v>
      </c>
      <c r="J86" s="19">
        <f t="shared" si="3"/>
        <v>2</v>
      </c>
    </row>
    <row r="87" spans="1:10" x14ac:dyDescent="0.25">
      <c r="A87" t="s">
        <v>303</v>
      </c>
      <c r="B87" s="6">
        <v>0</v>
      </c>
      <c r="C87" t="s">
        <v>304</v>
      </c>
      <c r="D87" s="1" t="s">
        <v>299</v>
      </c>
      <c r="E87" t="s">
        <v>283</v>
      </c>
      <c r="F87" s="7" t="s">
        <v>305</v>
      </c>
      <c r="G87" s="7">
        <v>1</v>
      </c>
      <c r="H87" t="s">
        <v>306</v>
      </c>
      <c r="I87" t="str">
        <f t="shared" si="4"/>
        <v>PixH-02  |  CONTROLADOR DE VUELO PIXHAWK (ARMADO) | HARDWARE</v>
      </c>
      <c r="J87" s="19">
        <f t="shared" si="3"/>
        <v>1</v>
      </c>
    </row>
    <row r="88" spans="1:10" x14ac:dyDescent="0.25">
      <c r="A88" t="s">
        <v>321</v>
      </c>
      <c r="B88" s="6">
        <v>1</v>
      </c>
      <c r="C88" t="s">
        <v>322</v>
      </c>
      <c r="D88" s="1" t="s">
        <v>23</v>
      </c>
      <c r="E88" t="s">
        <v>283</v>
      </c>
      <c r="F88" s="7" t="s">
        <v>23</v>
      </c>
      <c r="G88" s="7">
        <v>1</v>
      </c>
      <c r="H88" t="s">
        <v>354</v>
      </c>
      <c r="I88" t="str">
        <f t="shared" si="4"/>
        <v>FPV-UAV-RX  |  FPV RADIO TELEMETRY AIR MODULE | HARDWARE</v>
      </c>
      <c r="J88" s="19">
        <f t="shared" si="3"/>
        <v>2</v>
      </c>
    </row>
    <row r="89" spans="1:10" x14ac:dyDescent="0.25">
      <c r="A89" t="s">
        <v>320</v>
      </c>
      <c r="B89" s="6">
        <v>1</v>
      </c>
      <c r="C89" t="s">
        <v>319</v>
      </c>
      <c r="D89" s="1" t="s">
        <v>23</v>
      </c>
      <c r="E89" t="s">
        <v>283</v>
      </c>
      <c r="F89" s="7" t="s">
        <v>23</v>
      </c>
      <c r="G89" s="7">
        <v>1</v>
      </c>
      <c r="H89" t="s">
        <v>354</v>
      </c>
      <c r="I89" t="str">
        <f t="shared" si="4"/>
        <v>FPV-GCS-TX  |  FPV RADIO TELEMETRY GROUND STATION | HARDWARE</v>
      </c>
      <c r="J89" s="19">
        <f t="shared" si="3"/>
        <v>2</v>
      </c>
    </row>
    <row r="90" spans="1:10" x14ac:dyDescent="0.25">
      <c r="A90" t="s">
        <v>354</v>
      </c>
      <c r="B90" s="6">
        <v>1</v>
      </c>
      <c r="C90" t="s">
        <v>307</v>
      </c>
      <c r="D90" s="1" t="s">
        <v>23</v>
      </c>
      <c r="E90" t="s">
        <v>283</v>
      </c>
      <c r="F90" s="7" t="s">
        <v>308</v>
      </c>
      <c r="G90" s="7">
        <v>1</v>
      </c>
      <c r="H90" t="s">
        <v>354</v>
      </c>
      <c r="I90" t="str">
        <f t="shared" si="4"/>
        <v xml:space="preserve">   |  RECEPTOR ACCST FRSKY-D4R II | HARDWARE</v>
      </c>
      <c r="J90" s="19">
        <f t="shared" si="3"/>
        <v>2</v>
      </c>
    </row>
    <row r="91" spans="1:10" x14ac:dyDescent="0.25">
      <c r="A91" t="s">
        <v>318</v>
      </c>
      <c r="B91" s="6">
        <v>2</v>
      </c>
      <c r="C91" t="s">
        <v>315</v>
      </c>
      <c r="D91" s="1" t="s">
        <v>316</v>
      </c>
      <c r="E91" t="s">
        <v>283</v>
      </c>
      <c r="F91" s="7" t="s">
        <v>317</v>
      </c>
      <c r="G91" s="7">
        <v>2</v>
      </c>
      <c r="H91" t="s">
        <v>354</v>
      </c>
      <c r="I91" t="str">
        <f t="shared" si="4"/>
        <v>FRSky D8R-XP  |  RECEPTOR FRSKY D8R-XP 2.4 GHZ  | HARDWARE</v>
      </c>
      <c r="J91" s="19">
        <f t="shared" si="3"/>
        <v>4</v>
      </c>
    </row>
    <row r="92" spans="1:10" x14ac:dyDescent="0.25">
      <c r="A92" t="s">
        <v>354</v>
      </c>
      <c r="B92" s="6">
        <v>1</v>
      </c>
      <c r="C92" t="s">
        <v>282</v>
      </c>
      <c r="D92" s="1" t="s">
        <v>284</v>
      </c>
      <c r="E92" t="s">
        <v>283</v>
      </c>
      <c r="F92" s="7" t="s">
        <v>285</v>
      </c>
      <c r="G92" s="7">
        <v>1</v>
      </c>
      <c r="H92" t="s">
        <v>354</v>
      </c>
      <c r="I92" t="str">
        <f t="shared" si="4"/>
        <v xml:space="preserve">   |  TRANSMISOR 5.8 G VIDEOLINK C/CABLES DE ALIMENTACION AVL58 | HARDWARE</v>
      </c>
      <c r="J92" s="19">
        <f t="shared" si="3"/>
        <v>2</v>
      </c>
    </row>
    <row r="93" spans="1:10" x14ac:dyDescent="0.25">
      <c r="A93" t="s">
        <v>354</v>
      </c>
      <c r="B93" s="6">
        <v>1</v>
      </c>
      <c r="C93" t="s">
        <v>282</v>
      </c>
      <c r="D93" s="1" t="s">
        <v>286</v>
      </c>
      <c r="E93" t="s">
        <v>283</v>
      </c>
      <c r="F93" s="7" t="s">
        <v>285</v>
      </c>
      <c r="G93" s="7">
        <v>1</v>
      </c>
      <c r="H93" t="s">
        <v>354</v>
      </c>
      <c r="I93" t="str">
        <f t="shared" si="4"/>
        <v xml:space="preserve">   |  TRANSMISOR 5.8 G VIDEOLINK C/CABLES DE ALIMENTACION AVL58 | HARDWARE</v>
      </c>
      <c r="J93" s="19">
        <f t="shared" si="3"/>
        <v>2</v>
      </c>
    </row>
    <row r="94" spans="1:10" x14ac:dyDescent="0.25">
      <c r="A94" t="s">
        <v>309</v>
      </c>
      <c r="B94" s="6">
        <v>2</v>
      </c>
      <c r="C94" t="s">
        <v>310</v>
      </c>
      <c r="D94" s="1" t="s">
        <v>23</v>
      </c>
      <c r="E94" t="s">
        <v>283</v>
      </c>
      <c r="F94" s="7" t="s">
        <v>311</v>
      </c>
      <c r="G94" s="7">
        <v>2</v>
      </c>
      <c r="H94" t="s">
        <v>354</v>
      </c>
      <c r="I94" t="str">
        <f t="shared" si="4"/>
        <v>UBEC12V-0X  |  X12 PRO UBEC 12V/4.5 A | HARDWARE</v>
      </c>
      <c r="J94" s="19">
        <f t="shared" si="3"/>
        <v>4</v>
      </c>
    </row>
    <row r="95" spans="1:10" x14ac:dyDescent="0.25">
      <c r="A95" t="s">
        <v>312</v>
      </c>
      <c r="B95" s="6">
        <v>1</v>
      </c>
      <c r="C95" t="s">
        <v>313</v>
      </c>
      <c r="D95" s="1" t="s">
        <v>23</v>
      </c>
      <c r="E95" t="s">
        <v>283</v>
      </c>
      <c r="F95" s="7" t="s">
        <v>314</v>
      </c>
      <c r="G95" s="7">
        <v>1</v>
      </c>
      <c r="H95" t="s">
        <v>354</v>
      </c>
      <c r="I95" t="str">
        <f t="shared" si="4"/>
        <v>X3UBEC-01  |  X3 UBEC 5V/3A | HARDWARE</v>
      </c>
      <c r="J95" s="19">
        <f t="shared" si="3"/>
        <v>2</v>
      </c>
    </row>
    <row r="96" spans="1:10" x14ac:dyDescent="0.25">
      <c r="A96" t="s">
        <v>92</v>
      </c>
      <c r="B96" s="6">
        <v>1</v>
      </c>
      <c r="C96" t="s">
        <v>290</v>
      </c>
      <c r="D96" s="1">
        <v>201505010306</v>
      </c>
      <c r="E96" t="s">
        <v>283</v>
      </c>
      <c r="F96" s="7" t="s">
        <v>93</v>
      </c>
      <c r="G96" s="7">
        <v>1</v>
      </c>
      <c r="H96" t="s">
        <v>354</v>
      </c>
      <c r="I96" t="str">
        <f t="shared" si="4"/>
        <v>FPVScreen-01  |  ANTENA AOMWAY FORMA TREBOL 5.8G ONMIDIRECCIONAL 3 dB. | HARDWARE</v>
      </c>
      <c r="J96" s="19">
        <f t="shared" si="3"/>
        <v>2</v>
      </c>
    </row>
    <row r="97" spans="1:10" x14ac:dyDescent="0.25">
      <c r="A97" t="s">
        <v>94</v>
      </c>
      <c r="B97" s="6">
        <v>1</v>
      </c>
      <c r="C97" t="s">
        <v>289</v>
      </c>
      <c r="D97" s="1">
        <v>201505010227</v>
      </c>
      <c r="E97" t="s">
        <v>283</v>
      </c>
      <c r="F97" s="7" t="s">
        <v>93</v>
      </c>
      <c r="G97" s="7">
        <v>1</v>
      </c>
      <c r="H97" t="s">
        <v>354</v>
      </c>
      <c r="I97" t="str">
        <f t="shared" si="4"/>
        <v>FPVScreen-02  |  ANTENA CONICA AOMWAY 5.8 G HELICOIDAL 11 dB. | HARDWARE</v>
      </c>
      <c r="J97" s="19">
        <f t="shared" si="3"/>
        <v>2</v>
      </c>
    </row>
    <row r="98" spans="1:10" x14ac:dyDescent="0.25">
      <c r="A98" t="s">
        <v>354</v>
      </c>
      <c r="B98" s="6">
        <v>4</v>
      </c>
      <c r="C98" t="s">
        <v>298</v>
      </c>
      <c r="D98" s="1" t="s">
        <v>23</v>
      </c>
      <c r="E98" t="s">
        <v>283</v>
      </c>
      <c r="F98" s="7" t="s">
        <v>255</v>
      </c>
      <c r="G98" s="7">
        <v>4</v>
      </c>
      <c r="H98" t="s">
        <v>354</v>
      </c>
      <c r="I98" t="str">
        <f t="shared" ref="I98:I129" si="5">(A98&amp;"  |  "&amp;C98&amp;" | "&amp;E98)</f>
        <v xml:space="preserve">   |  CONTROLADOR DE VUELO PIXHAWK | HARDWARE</v>
      </c>
      <c r="J98" s="19">
        <f t="shared" si="3"/>
        <v>8</v>
      </c>
    </row>
    <row r="99" spans="1:10" x14ac:dyDescent="0.25">
      <c r="A99" t="s">
        <v>354</v>
      </c>
      <c r="B99" s="6">
        <v>2</v>
      </c>
      <c r="C99" t="s">
        <v>304</v>
      </c>
      <c r="D99" s="1" t="s">
        <v>23</v>
      </c>
      <c r="E99" t="s">
        <v>283</v>
      </c>
      <c r="F99" s="7" t="s">
        <v>256</v>
      </c>
      <c r="G99" s="7">
        <v>2</v>
      </c>
      <c r="H99" t="s">
        <v>354</v>
      </c>
      <c r="I99" t="str">
        <f t="shared" si="5"/>
        <v xml:space="preserve">   |  CONTROLADOR DE VUELO PIXHAWK (ARMADO) | HARDWARE</v>
      </c>
      <c r="J99" s="19">
        <f t="shared" si="3"/>
        <v>4</v>
      </c>
    </row>
    <row r="100" spans="1:10" x14ac:dyDescent="0.25">
      <c r="A100" s="3" t="s">
        <v>334</v>
      </c>
      <c r="B100" s="6">
        <v>1</v>
      </c>
      <c r="C100" t="s">
        <v>335</v>
      </c>
      <c r="D100" s="1" t="s">
        <v>336</v>
      </c>
      <c r="E100" t="s">
        <v>283</v>
      </c>
      <c r="F100" s="7" t="s">
        <v>23</v>
      </c>
      <c r="G100" s="7">
        <v>1</v>
      </c>
      <c r="H100" t="s">
        <v>354</v>
      </c>
      <c r="I100" t="str">
        <f t="shared" si="5"/>
        <v>Must-ON-01  |  MONITOR DE VIDEO MUST  HD ON-CAMERA FIELD | HARDWARE</v>
      </c>
      <c r="J100" s="19">
        <f t="shared" si="3"/>
        <v>2</v>
      </c>
    </row>
    <row r="101" spans="1:10" x14ac:dyDescent="0.25">
      <c r="A101" s="3" t="s">
        <v>354</v>
      </c>
      <c r="B101" s="6">
        <v>1</v>
      </c>
      <c r="C101" t="s">
        <v>337</v>
      </c>
      <c r="D101" s="1">
        <v>844706097</v>
      </c>
      <c r="E101" t="s">
        <v>283</v>
      </c>
      <c r="F101" s="7" t="s">
        <v>23</v>
      </c>
      <c r="G101" s="7">
        <v>1</v>
      </c>
      <c r="H101" t="s">
        <v>354</v>
      </c>
      <c r="I101" t="str">
        <f t="shared" si="5"/>
        <v xml:space="preserve">   |  CABLE HDMI - HDMI 15 PIES MUST ON | HARDWARE</v>
      </c>
      <c r="J101" s="19">
        <f t="shared" si="3"/>
        <v>2</v>
      </c>
    </row>
    <row r="102" spans="1:10" x14ac:dyDescent="0.25">
      <c r="A102" s="3" t="s">
        <v>354</v>
      </c>
      <c r="B102" s="6">
        <v>1</v>
      </c>
      <c r="C102" t="s">
        <v>338</v>
      </c>
      <c r="D102" s="1" t="s">
        <v>23</v>
      </c>
      <c r="E102" t="s">
        <v>283</v>
      </c>
      <c r="F102" s="7" t="s">
        <v>23</v>
      </c>
      <c r="G102" s="7">
        <v>1</v>
      </c>
      <c r="H102" t="s">
        <v>354</v>
      </c>
      <c r="I102" t="str">
        <f t="shared" si="5"/>
        <v xml:space="preserve">   |  CABLE HDMI  - MINI HDMI 1.8 METROS MUST ON | HARDWARE</v>
      </c>
      <c r="J102" s="19">
        <f t="shared" si="3"/>
        <v>2</v>
      </c>
    </row>
    <row r="103" spans="1:10" x14ac:dyDescent="0.25">
      <c r="A103" t="s">
        <v>92</v>
      </c>
      <c r="B103" s="6">
        <v>1</v>
      </c>
      <c r="C103" t="s">
        <v>340</v>
      </c>
      <c r="D103" s="1">
        <v>201505010306</v>
      </c>
      <c r="E103" t="s">
        <v>283</v>
      </c>
      <c r="F103" s="7" t="s">
        <v>93</v>
      </c>
      <c r="G103" s="7">
        <v>1</v>
      </c>
      <c r="H103" t="s">
        <v>354</v>
      </c>
      <c r="I103" t="str">
        <f t="shared" si="5"/>
        <v>FPVScreen-01  |  Black Pearl RC801 5.8Ghz 7" HD Screen Diversity Monitor | HARDWARE</v>
      </c>
      <c r="J103" s="19">
        <f t="shared" si="3"/>
        <v>2</v>
      </c>
    </row>
    <row r="104" spans="1:10" x14ac:dyDescent="0.25">
      <c r="A104" t="s">
        <v>94</v>
      </c>
      <c r="B104" s="6">
        <v>1</v>
      </c>
      <c r="C104" t="s">
        <v>340</v>
      </c>
      <c r="D104" s="1">
        <v>201505010227</v>
      </c>
      <c r="E104" t="s">
        <v>283</v>
      </c>
      <c r="F104" s="7" t="s">
        <v>93</v>
      </c>
      <c r="G104" s="7">
        <v>1</v>
      </c>
      <c r="H104" t="s">
        <v>354</v>
      </c>
      <c r="I104" t="str">
        <f t="shared" si="5"/>
        <v>FPVScreen-02  |  Black Pearl RC801 5.8Ghz 7" HD Screen Diversity Monitor | HARDWARE</v>
      </c>
      <c r="J104" s="19">
        <f t="shared" si="3"/>
        <v>2</v>
      </c>
    </row>
    <row r="105" spans="1:10" x14ac:dyDescent="0.25">
      <c r="A105" t="s">
        <v>130</v>
      </c>
      <c r="B105" s="6">
        <v>0</v>
      </c>
      <c r="C105" t="s">
        <v>131</v>
      </c>
      <c r="D105" s="1" t="s">
        <v>23</v>
      </c>
      <c r="E105" t="s">
        <v>112</v>
      </c>
      <c r="F105" s="7" t="s">
        <v>132</v>
      </c>
      <c r="G105" s="7">
        <v>1</v>
      </c>
      <c r="H105" t="s">
        <v>354</v>
      </c>
      <c r="I105" t="str">
        <f t="shared" si="5"/>
        <v>BALANCER-01  |  BALANCER TRU-SPIN PROP MARCA "ZEN JIN DA" | HERRAMIENTA</v>
      </c>
      <c r="J105" s="19">
        <f t="shared" si="3"/>
        <v>1</v>
      </c>
    </row>
    <row r="106" spans="1:10" x14ac:dyDescent="0.25">
      <c r="A106" t="s">
        <v>354</v>
      </c>
      <c r="B106" s="6">
        <v>0</v>
      </c>
      <c r="C106" t="s">
        <v>189</v>
      </c>
      <c r="D106" s="1" t="s">
        <v>23</v>
      </c>
      <c r="E106" t="s">
        <v>112</v>
      </c>
      <c r="F106" s="7" t="s">
        <v>324</v>
      </c>
      <c r="G106" s="7">
        <v>1</v>
      </c>
      <c r="H106" t="s">
        <v>354</v>
      </c>
      <c r="I106" t="str">
        <f t="shared" si="5"/>
        <v xml:space="preserve">   |  BARRAS SILICON 4''X0.45'' MARCA STANLEY | HERRAMIENTA</v>
      </c>
      <c r="J106" s="19">
        <f t="shared" si="3"/>
        <v>1</v>
      </c>
    </row>
    <row r="107" spans="1:10" x14ac:dyDescent="0.25">
      <c r="A107" t="s">
        <v>354</v>
      </c>
      <c r="B107" s="6">
        <v>0</v>
      </c>
      <c r="C107" t="s">
        <v>140</v>
      </c>
      <c r="D107" s="1" t="s">
        <v>23</v>
      </c>
      <c r="E107" t="s">
        <v>112</v>
      </c>
      <c r="F107" s="7" t="s">
        <v>23</v>
      </c>
      <c r="G107" s="7">
        <v>1</v>
      </c>
      <c r="H107" t="s">
        <v>354</v>
      </c>
      <c r="I107" t="str">
        <f t="shared" si="5"/>
        <v xml:space="preserve">   |  BASE CAUTIN MARCA STEREN | HERRAMIENTA</v>
      </c>
      <c r="J107" s="19">
        <f t="shared" si="3"/>
        <v>1</v>
      </c>
    </row>
    <row r="108" spans="1:10" x14ac:dyDescent="0.25">
      <c r="A108" t="s">
        <v>137</v>
      </c>
      <c r="B108" s="6">
        <v>0</v>
      </c>
      <c r="C108" t="s">
        <v>138</v>
      </c>
      <c r="D108" s="1" t="s">
        <v>23</v>
      </c>
      <c r="E108" t="s">
        <v>112</v>
      </c>
      <c r="F108" s="7" t="s">
        <v>139</v>
      </c>
      <c r="G108" s="7">
        <v>1</v>
      </c>
      <c r="H108" t="s">
        <v>354</v>
      </c>
      <c r="I108" t="str">
        <f t="shared" si="5"/>
        <v>CAUTIN-01  |  CAUTIN MARCA WELLER 25W | HERRAMIENTA</v>
      </c>
      <c r="J108" s="19">
        <f t="shared" si="3"/>
        <v>1</v>
      </c>
    </row>
    <row r="109" spans="1:10" x14ac:dyDescent="0.25">
      <c r="A109" s="2" t="s">
        <v>177</v>
      </c>
      <c r="B109" s="6">
        <v>0</v>
      </c>
      <c r="C109" t="s">
        <v>175</v>
      </c>
      <c r="D109" s="1" t="s">
        <v>23</v>
      </c>
      <c r="E109" t="s">
        <v>112</v>
      </c>
      <c r="F109" s="7" t="s">
        <v>176</v>
      </c>
      <c r="G109" s="7">
        <v>1</v>
      </c>
      <c r="H109" t="s">
        <v>354</v>
      </c>
      <c r="I109" t="str">
        <f t="shared" si="5"/>
        <v>CINTAM-01  |  CINTA METRICA TOOLCRAFT 3M. | HERRAMIENTA</v>
      </c>
      <c r="J109" s="19">
        <f t="shared" si="3"/>
        <v>1</v>
      </c>
    </row>
    <row r="110" spans="1:10" x14ac:dyDescent="0.25">
      <c r="A110" t="s">
        <v>354</v>
      </c>
      <c r="B110" s="6">
        <v>0</v>
      </c>
      <c r="C110" t="s">
        <v>193</v>
      </c>
      <c r="D110" s="1" t="s">
        <v>23</v>
      </c>
      <c r="E110" t="s">
        <v>112</v>
      </c>
      <c r="F110" s="8">
        <v>80220320</v>
      </c>
      <c r="G110" s="8">
        <v>1</v>
      </c>
      <c r="H110" t="s">
        <v>354</v>
      </c>
      <c r="I110" t="str">
        <f t="shared" si="5"/>
        <v xml:space="preserve">   |  HOJAS PARA LIJAR (MOD. 80, 220 320) | HERRAMIENTA</v>
      </c>
      <c r="J110" s="19">
        <f t="shared" si="3"/>
        <v>1</v>
      </c>
    </row>
    <row r="111" spans="1:10" x14ac:dyDescent="0.25">
      <c r="A111" t="s">
        <v>114</v>
      </c>
      <c r="B111" s="6">
        <v>0</v>
      </c>
      <c r="C111" t="s">
        <v>115</v>
      </c>
      <c r="D111" s="1" t="s">
        <v>23</v>
      </c>
      <c r="E111" t="s">
        <v>112</v>
      </c>
      <c r="F111" s="7" t="s">
        <v>116</v>
      </c>
      <c r="G111" s="7">
        <v>1</v>
      </c>
      <c r="H111" t="s">
        <v>354</v>
      </c>
      <c r="I111" t="str">
        <f t="shared" si="5"/>
        <v>DESARMADORES-01  |  JUEGO DE DESARMADORES MARCA TRUPER JOY-6 | HERRAMIENTA</v>
      </c>
      <c r="J111" s="19">
        <f t="shared" si="3"/>
        <v>1</v>
      </c>
    </row>
    <row r="112" spans="1:10" x14ac:dyDescent="0.25">
      <c r="A112" t="s">
        <v>354</v>
      </c>
      <c r="B112" s="6">
        <v>0</v>
      </c>
      <c r="C112" t="s">
        <v>172</v>
      </c>
      <c r="D112" s="1" t="s">
        <v>23</v>
      </c>
      <c r="E112" t="s">
        <v>112</v>
      </c>
      <c r="F112" s="7" t="s">
        <v>354</v>
      </c>
      <c r="G112" s="7">
        <v>1</v>
      </c>
      <c r="H112" t="s">
        <v>354</v>
      </c>
      <c r="I112" t="str">
        <f t="shared" si="5"/>
        <v xml:space="preserve">   |  JUEGO DE LLAVES ALLEN MARCA TURNIGY | HERRAMIENTA</v>
      </c>
      <c r="J112" s="19">
        <f t="shared" si="3"/>
        <v>1</v>
      </c>
    </row>
    <row r="113" spans="1:10" x14ac:dyDescent="0.25">
      <c r="A113" t="s">
        <v>354</v>
      </c>
      <c r="B113" s="6">
        <v>0</v>
      </c>
      <c r="C113" t="s">
        <v>174</v>
      </c>
      <c r="D113" s="1" t="s">
        <v>23</v>
      </c>
      <c r="E113" t="s">
        <v>112</v>
      </c>
      <c r="F113" s="7" t="s">
        <v>354</v>
      </c>
      <c r="G113" s="7">
        <v>1</v>
      </c>
      <c r="H113" t="s">
        <v>354</v>
      </c>
      <c r="I113" t="str">
        <f t="shared" si="5"/>
        <v xml:space="preserve">   |  JUEGO DE NAVAJAS PARA CUTTER | HERRAMIENTA</v>
      </c>
      <c r="J113" s="19">
        <f t="shared" si="3"/>
        <v>1</v>
      </c>
    </row>
    <row r="114" spans="1:10" x14ac:dyDescent="0.25">
      <c r="A114" t="s">
        <v>354</v>
      </c>
      <c r="B114" s="6">
        <v>0</v>
      </c>
      <c r="C114" t="s">
        <v>133</v>
      </c>
      <c r="D114" s="1" t="s">
        <v>23</v>
      </c>
      <c r="E114" t="s">
        <v>112</v>
      </c>
      <c r="F114" s="7" t="s">
        <v>134</v>
      </c>
      <c r="G114" s="7">
        <v>1</v>
      </c>
      <c r="H114" t="s">
        <v>354</v>
      </c>
      <c r="I114" t="str">
        <f t="shared" si="5"/>
        <v xml:space="preserve">   |  JUEGO DE SUJECION (PINZAS Y LUPA) STEREN | HERRAMIENTA</v>
      </c>
      <c r="J114" s="19">
        <f t="shared" si="3"/>
        <v>1</v>
      </c>
    </row>
    <row r="115" spans="1:10" x14ac:dyDescent="0.25">
      <c r="A115" t="s">
        <v>161</v>
      </c>
      <c r="B115" s="6">
        <v>0</v>
      </c>
      <c r="C115" t="s">
        <v>160</v>
      </c>
      <c r="D115" s="1" t="s">
        <v>23</v>
      </c>
      <c r="E115" t="s">
        <v>112</v>
      </c>
      <c r="F115" s="7" t="s">
        <v>354</v>
      </c>
      <c r="G115" s="7">
        <v>1</v>
      </c>
      <c r="H115" t="s">
        <v>354</v>
      </c>
      <c r="I115" t="str">
        <f t="shared" si="5"/>
        <v>ALLEN-IN  |  JUEGO LLANES ALLEN POR PULGADA | HERRAMIENTA</v>
      </c>
      <c r="J115" s="19">
        <f t="shared" si="3"/>
        <v>1</v>
      </c>
    </row>
    <row r="116" spans="1:10" x14ac:dyDescent="0.25">
      <c r="A116" t="s">
        <v>159</v>
      </c>
      <c r="B116" s="6">
        <v>0</v>
      </c>
      <c r="C116" t="s">
        <v>158</v>
      </c>
      <c r="D116" s="1" t="s">
        <v>23</v>
      </c>
      <c r="E116" t="s">
        <v>112</v>
      </c>
      <c r="F116" s="7" t="s">
        <v>354</v>
      </c>
      <c r="G116" s="7">
        <v>1</v>
      </c>
      <c r="H116" t="s">
        <v>354</v>
      </c>
      <c r="I116" t="str">
        <f t="shared" si="5"/>
        <v>ALLEN-MM  |  JUEGO LLAVES ALLEN MILIMETRICAS | HERRAMIENTA</v>
      </c>
      <c r="J116" s="19">
        <f t="shared" si="3"/>
        <v>1</v>
      </c>
    </row>
    <row r="117" spans="1:10" x14ac:dyDescent="0.25">
      <c r="A117" t="s">
        <v>354</v>
      </c>
      <c r="B117" s="6">
        <v>0</v>
      </c>
      <c r="C117" t="s">
        <v>192</v>
      </c>
      <c r="D117" s="1" t="s">
        <v>354</v>
      </c>
      <c r="E117" t="s">
        <v>112</v>
      </c>
      <c r="F117" s="7" t="s">
        <v>354</v>
      </c>
      <c r="G117" s="7">
        <v>1</v>
      </c>
      <c r="H117" t="s">
        <v>354</v>
      </c>
      <c r="I117" t="str">
        <f t="shared" si="5"/>
        <v xml:space="preserve">   |  LIJADORA CIRCULAR MARCA TRUPER | HERRAMIENTA</v>
      </c>
      <c r="J117" s="19">
        <f t="shared" si="3"/>
        <v>1</v>
      </c>
    </row>
    <row r="118" spans="1:10" x14ac:dyDescent="0.25">
      <c r="A118" t="s">
        <v>354</v>
      </c>
      <c r="B118" s="6">
        <v>0</v>
      </c>
      <c r="C118" t="s">
        <v>190</v>
      </c>
      <c r="D118" s="1" t="s">
        <v>23</v>
      </c>
      <c r="E118" t="s">
        <v>112</v>
      </c>
      <c r="F118" s="7">
        <v>15151</v>
      </c>
      <c r="G118" s="7">
        <v>1</v>
      </c>
      <c r="H118" t="s">
        <v>354</v>
      </c>
      <c r="I118" t="str">
        <f t="shared" si="5"/>
        <v xml:space="preserve">   |  LIJADORA RECTANGULAR MARCA TRUPPER 15151 | HERRAMIENTA</v>
      </c>
      <c r="J118" s="19">
        <f t="shared" si="3"/>
        <v>1</v>
      </c>
    </row>
    <row r="119" spans="1:10" x14ac:dyDescent="0.25">
      <c r="A119" t="s">
        <v>354</v>
      </c>
      <c r="B119" s="6">
        <v>0</v>
      </c>
      <c r="C119" t="s">
        <v>191</v>
      </c>
      <c r="D119" s="1" t="s">
        <v>354</v>
      </c>
      <c r="E119" t="s">
        <v>112</v>
      </c>
      <c r="F119" s="7">
        <v>15133</v>
      </c>
      <c r="G119" s="7">
        <v>1</v>
      </c>
      <c r="H119" t="s">
        <v>354</v>
      </c>
      <c r="I119" t="str">
        <f t="shared" si="5"/>
        <v xml:space="preserve">   |  LIJADORA TRIANGULAR MARCA TRUPPER 15133 | HERRAMIENTA</v>
      </c>
      <c r="J119" s="19">
        <f t="shared" si="3"/>
        <v>1</v>
      </c>
    </row>
    <row r="120" spans="1:10" x14ac:dyDescent="0.25">
      <c r="A120" t="s">
        <v>181</v>
      </c>
      <c r="B120" s="6">
        <v>0</v>
      </c>
      <c r="C120" t="s">
        <v>183</v>
      </c>
      <c r="D120" s="1" t="s">
        <v>354</v>
      </c>
      <c r="E120" t="s">
        <v>112</v>
      </c>
      <c r="F120" s="7" t="s">
        <v>354</v>
      </c>
      <c r="G120" s="7">
        <v>1</v>
      </c>
      <c r="H120" t="s">
        <v>354</v>
      </c>
      <c r="I120" t="str">
        <f t="shared" si="5"/>
        <v>SEGUETA-02  |  MANGO PARA SEGUETA COLOR NARANJA 6'' | HERRAMIENTA</v>
      </c>
      <c r="J120" s="19">
        <f t="shared" si="3"/>
        <v>1</v>
      </c>
    </row>
    <row r="121" spans="1:10" x14ac:dyDescent="0.25">
      <c r="A121" t="s">
        <v>180</v>
      </c>
      <c r="B121" s="6">
        <v>0</v>
      </c>
      <c r="C121" t="s">
        <v>182</v>
      </c>
      <c r="D121" s="1" t="s">
        <v>354</v>
      </c>
      <c r="E121" t="s">
        <v>112</v>
      </c>
      <c r="F121" s="7" t="s">
        <v>354</v>
      </c>
      <c r="G121" s="7">
        <v>1</v>
      </c>
      <c r="H121" t="s">
        <v>354</v>
      </c>
      <c r="I121" t="str">
        <f t="shared" si="5"/>
        <v>SEGUETA-01  |  MANGO PARA SEGUETA COLOR NEGRO 12'' | HERRAMIENTA</v>
      </c>
      <c r="J121" s="19">
        <f t="shared" si="3"/>
        <v>1</v>
      </c>
    </row>
    <row r="122" spans="1:10" x14ac:dyDescent="0.25">
      <c r="A122" t="s">
        <v>184</v>
      </c>
      <c r="B122" s="6">
        <v>0</v>
      </c>
      <c r="C122" t="s">
        <v>185</v>
      </c>
      <c r="D122" s="1" t="s">
        <v>354</v>
      </c>
      <c r="E122" t="s">
        <v>112</v>
      </c>
      <c r="F122" s="7" t="s">
        <v>186</v>
      </c>
      <c r="G122" s="7">
        <v>1</v>
      </c>
      <c r="H122" t="s">
        <v>354</v>
      </c>
      <c r="I122" t="str">
        <f t="shared" si="5"/>
        <v>MARTILLO-01  |  MARTILLO UÑA CURVA MARCA WOLFFOX | HERRAMIENTA</v>
      </c>
      <c r="J122" s="19">
        <f t="shared" si="3"/>
        <v>1</v>
      </c>
    </row>
    <row r="123" spans="1:10" x14ac:dyDescent="0.25">
      <c r="A123" t="s">
        <v>110</v>
      </c>
      <c r="B123" s="6">
        <v>0</v>
      </c>
      <c r="C123" t="s">
        <v>111</v>
      </c>
      <c r="D123" s="1">
        <v>1605280268</v>
      </c>
      <c r="E123" t="s">
        <v>112</v>
      </c>
      <c r="F123" s="7" t="s">
        <v>113</v>
      </c>
      <c r="G123" s="7">
        <v>1</v>
      </c>
      <c r="H123" t="s">
        <v>354</v>
      </c>
      <c r="I123" t="str">
        <f t="shared" si="5"/>
        <v>MULTIMETRO-01  |  MULTIMETRO TRUPER MUT-33 | HERRAMIENTA</v>
      </c>
      <c r="J123" s="19">
        <f t="shared" ref="J123:J182" si="6">SUM(B123,G123)</f>
        <v>1</v>
      </c>
    </row>
    <row r="124" spans="1:10" x14ac:dyDescent="0.25">
      <c r="A124" t="s">
        <v>171</v>
      </c>
      <c r="B124" s="6">
        <v>0</v>
      </c>
      <c r="C124" t="s">
        <v>170</v>
      </c>
      <c r="D124" s="1" t="s">
        <v>23</v>
      </c>
      <c r="E124" t="s">
        <v>112</v>
      </c>
      <c r="F124" s="7" t="s">
        <v>354</v>
      </c>
      <c r="G124" s="7">
        <v>1</v>
      </c>
      <c r="H124" t="s">
        <v>354</v>
      </c>
      <c r="I124" t="str">
        <f t="shared" si="5"/>
        <v>CUTTER-02  |  NAVAJA TIPO CUTTER MARCA PRETUL | HERRAMIENTA</v>
      </c>
      <c r="J124" s="19">
        <f t="shared" si="6"/>
        <v>1</v>
      </c>
    </row>
    <row r="125" spans="1:10" x14ac:dyDescent="0.25">
      <c r="A125" t="s">
        <v>169</v>
      </c>
      <c r="B125" s="6">
        <v>0</v>
      </c>
      <c r="C125" t="s">
        <v>168</v>
      </c>
      <c r="D125" s="1" t="s">
        <v>23</v>
      </c>
      <c r="E125" t="s">
        <v>112</v>
      </c>
      <c r="F125" s="7" t="s">
        <v>354</v>
      </c>
      <c r="G125" s="7">
        <v>1</v>
      </c>
      <c r="H125" t="s">
        <v>354</v>
      </c>
      <c r="I125" t="str">
        <f t="shared" si="5"/>
        <v>CUTTER-01  |  NAVAJA TIPO CUTTER MARCA TRUPER  | HERRAMIENTA</v>
      </c>
      <c r="J125" s="19">
        <f t="shared" si="6"/>
        <v>1</v>
      </c>
    </row>
    <row r="126" spans="1:10" x14ac:dyDescent="0.25">
      <c r="A126" t="s">
        <v>163</v>
      </c>
      <c r="B126" s="6">
        <v>0</v>
      </c>
      <c r="C126" t="s">
        <v>162</v>
      </c>
      <c r="D126" s="1" t="s">
        <v>23</v>
      </c>
      <c r="E126" t="s">
        <v>112</v>
      </c>
      <c r="F126" s="7" t="s">
        <v>354</v>
      </c>
      <c r="G126" s="7">
        <v>1</v>
      </c>
      <c r="H126" t="s">
        <v>354</v>
      </c>
      <c r="I126" t="str">
        <f t="shared" si="5"/>
        <v>PINZAS-01  |  PINZAS TIPO PUNTA MARCA TRUPER  | HERRAMIENTA</v>
      </c>
      <c r="J126" s="19">
        <f t="shared" si="6"/>
        <v>1</v>
      </c>
    </row>
    <row r="127" spans="1:10" x14ac:dyDescent="0.25">
      <c r="A127" t="s">
        <v>164</v>
      </c>
      <c r="B127" s="6">
        <v>0</v>
      </c>
      <c r="C127" t="s">
        <v>165</v>
      </c>
      <c r="D127" s="1" t="s">
        <v>23</v>
      </c>
      <c r="E127" t="s">
        <v>112</v>
      </c>
      <c r="F127" s="7" t="s">
        <v>354</v>
      </c>
      <c r="G127" s="7">
        <v>1</v>
      </c>
      <c r="H127" t="s">
        <v>354</v>
      </c>
      <c r="I127" t="str">
        <f t="shared" si="5"/>
        <v>PINZAS-02  |  PINZAS TIPO PUNTA PARA CORTAR CABLE MARCA TRUPER | HERRAMIENTA</v>
      </c>
      <c r="J127" s="19">
        <f t="shared" si="6"/>
        <v>1</v>
      </c>
    </row>
    <row r="128" spans="1:10" x14ac:dyDescent="0.25">
      <c r="A128" t="s">
        <v>167</v>
      </c>
      <c r="B128" s="6">
        <v>0</v>
      </c>
      <c r="C128" t="s">
        <v>166</v>
      </c>
      <c r="D128" s="1" t="s">
        <v>23</v>
      </c>
      <c r="E128" t="s">
        <v>112</v>
      </c>
      <c r="F128" s="7" t="s">
        <v>354</v>
      </c>
      <c r="G128" s="7">
        <v>1</v>
      </c>
      <c r="H128" t="s">
        <v>354</v>
      </c>
      <c r="I128" t="str">
        <f t="shared" si="5"/>
        <v>PINZAS-03  |  PINZAS TIPO SUJETADOR PARA CORTAR CABLE | HERRAMIENTA</v>
      </c>
      <c r="J128" s="19">
        <f t="shared" si="6"/>
        <v>1</v>
      </c>
    </row>
    <row r="129" spans="1:10" x14ac:dyDescent="0.25">
      <c r="A129" t="s">
        <v>187</v>
      </c>
      <c r="B129" s="6">
        <v>0</v>
      </c>
      <c r="C129" t="s">
        <v>188</v>
      </c>
      <c r="D129" s="1" t="s">
        <v>354</v>
      </c>
      <c r="E129" t="s">
        <v>112</v>
      </c>
      <c r="F129" s="7" t="s">
        <v>354</v>
      </c>
      <c r="G129" s="7">
        <v>1</v>
      </c>
      <c r="H129" t="s">
        <v>354</v>
      </c>
      <c r="I129" t="str">
        <f t="shared" si="5"/>
        <v>GG-01  |  PISTOLA SILICON MARCA STANLEY GR25  | HERRAMIENTA</v>
      </c>
      <c r="J129" s="19">
        <f t="shared" si="6"/>
        <v>1</v>
      </c>
    </row>
    <row r="130" spans="1:10" x14ac:dyDescent="0.25">
      <c r="A130" t="s">
        <v>354</v>
      </c>
      <c r="B130" s="6">
        <v>0</v>
      </c>
      <c r="C130" t="s">
        <v>194</v>
      </c>
      <c r="D130" s="1" t="s">
        <v>354</v>
      </c>
      <c r="E130" t="s">
        <v>112</v>
      </c>
      <c r="F130" s="7" t="s">
        <v>23</v>
      </c>
      <c r="G130" s="7">
        <v>1</v>
      </c>
      <c r="H130" t="s">
        <v>354</v>
      </c>
      <c r="I130" t="str">
        <f t="shared" ref="I130:I161" si="7">(A130&amp;"  |  "&amp;C130&amp;" | "&amp;E130)</f>
        <v xml:space="preserve">   |  TIJERAS MARCA OFFICE DEPOT 20 CM. | HERRAMIENTA</v>
      </c>
      <c r="J130" s="19">
        <f t="shared" si="6"/>
        <v>1</v>
      </c>
    </row>
    <row r="131" spans="1:10" x14ac:dyDescent="0.25">
      <c r="A131" t="s">
        <v>354</v>
      </c>
      <c r="B131" s="6">
        <v>0</v>
      </c>
      <c r="C131" t="s">
        <v>117</v>
      </c>
      <c r="D131" s="1" t="s">
        <v>23</v>
      </c>
      <c r="E131" t="s">
        <v>135</v>
      </c>
      <c r="F131" s="7" t="s">
        <v>119</v>
      </c>
      <c r="G131" s="7">
        <v>1</v>
      </c>
      <c r="H131" t="s">
        <v>354</v>
      </c>
      <c r="I131" t="str">
        <f t="shared" si="7"/>
        <v xml:space="preserve">   |  ACELERADOR DE ADHESIVOS XINOVA A12 | INSUMOS</v>
      </c>
      <c r="J131" s="19">
        <f t="shared" si="6"/>
        <v>1</v>
      </c>
    </row>
    <row r="132" spans="1:10" x14ac:dyDescent="0.25">
      <c r="A132" t="s">
        <v>354</v>
      </c>
      <c r="B132" s="6">
        <v>0</v>
      </c>
      <c r="C132" t="s">
        <v>126</v>
      </c>
      <c r="D132" s="1" t="s">
        <v>23</v>
      </c>
      <c r="E132" t="s">
        <v>135</v>
      </c>
      <c r="F132" s="7" t="s">
        <v>127</v>
      </c>
      <c r="G132" s="7">
        <v>1</v>
      </c>
      <c r="H132" t="s">
        <v>354</v>
      </c>
      <c r="I132" t="str">
        <f t="shared" si="7"/>
        <v xml:space="preserve">   |  ADHESIVO EN SPRAY SCOTCH SUPER 77 | INSUMOS</v>
      </c>
      <c r="J132" s="19">
        <f t="shared" si="6"/>
        <v>1</v>
      </c>
    </row>
    <row r="133" spans="1:10" x14ac:dyDescent="0.25">
      <c r="A133" t="s">
        <v>354</v>
      </c>
      <c r="B133" s="6">
        <v>0</v>
      </c>
      <c r="C133" t="s">
        <v>120</v>
      </c>
      <c r="D133" s="1" t="s">
        <v>23</v>
      </c>
      <c r="E133" t="s">
        <v>135</v>
      </c>
      <c r="F133" s="7" t="s">
        <v>121</v>
      </c>
      <c r="G133" s="7">
        <v>1</v>
      </c>
      <c r="H133" t="s">
        <v>354</v>
      </c>
      <c r="I133" t="str">
        <f t="shared" si="7"/>
        <v xml:space="preserve">   |  ADHESIVO INSTANTANEO LOCTITE 460 | INSUMOS</v>
      </c>
      <c r="J133" s="19">
        <f t="shared" si="6"/>
        <v>1</v>
      </c>
    </row>
    <row r="134" spans="1:10" x14ac:dyDescent="0.25">
      <c r="A134" t="s">
        <v>354</v>
      </c>
      <c r="B134" s="6">
        <v>0</v>
      </c>
      <c r="C134" t="s">
        <v>197</v>
      </c>
      <c r="D134" s="1" t="s">
        <v>23</v>
      </c>
      <c r="E134" t="s">
        <v>135</v>
      </c>
      <c r="F134" s="7" t="s">
        <v>195</v>
      </c>
      <c r="G134" s="7">
        <v>1</v>
      </c>
      <c r="H134" t="s">
        <v>354</v>
      </c>
      <c r="I134" t="str">
        <f t="shared" si="7"/>
        <v xml:space="preserve">   |  CIENTO DE  CLAVOS MADERA 1'' | INSUMOS</v>
      </c>
      <c r="J134" s="19">
        <f t="shared" si="6"/>
        <v>1</v>
      </c>
    </row>
    <row r="135" spans="1:10" x14ac:dyDescent="0.25">
      <c r="A135" t="s">
        <v>354</v>
      </c>
      <c r="B135" s="6">
        <v>0</v>
      </c>
      <c r="C135" t="s">
        <v>196</v>
      </c>
      <c r="D135" s="1" t="s">
        <v>23</v>
      </c>
      <c r="E135" t="s">
        <v>135</v>
      </c>
      <c r="F135" s="7" t="s">
        <v>195</v>
      </c>
      <c r="G135" s="7">
        <v>1</v>
      </c>
      <c r="H135" t="s">
        <v>354</v>
      </c>
      <c r="I135" t="str">
        <f t="shared" si="7"/>
        <v xml:space="preserve">   |  CIENTO DE CLAVOS CONCRETO 1'' | INSUMOS</v>
      </c>
      <c r="J135" s="19">
        <f t="shared" si="6"/>
        <v>1</v>
      </c>
    </row>
    <row r="136" spans="1:10" x14ac:dyDescent="0.25">
      <c r="A136" t="s">
        <v>354</v>
      </c>
      <c r="B136" s="6">
        <v>0</v>
      </c>
      <c r="C136" t="s">
        <v>148</v>
      </c>
      <c r="D136" s="1" t="s">
        <v>23</v>
      </c>
      <c r="E136" t="s">
        <v>135</v>
      </c>
      <c r="F136" s="7" t="s">
        <v>354</v>
      </c>
      <c r="G136" s="7">
        <v>1</v>
      </c>
      <c r="H136" t="s">
        <v>354</v>
      </c>
      <c r="I136" t="str">
        <f t="shared" si="7"/>
        <v xml:space="preserve">   |  CINTA ADHESIVA TIPO MASKIN 1.5 cm | INSUMOS</v>
      </c>
      <c r="J136" s="19">
        <f t="shared" si="6"/>
        <v>1</v>
      </c>
    </row>
    <row r="137" spans="1:10" x14ac:dyDescent="0.25">
      <c r="A137" t="s">
        <v>354</v>
      </c>
      <c r="B137" s="6">
        <v>0</v>
      </c>
      <c r="C137" t="s">
        <v>149</v>
      </c>
      <c r="D137" s="1" t="s">
        <v>23</v>
      </c>
      <c r="E137" t="s">
        <v>135</v>
      </c>
      <c r="F137" s="7" t="s">
        <v>354</v>
      </c>
      <c r="G137" s="7">
        <v>1</v>
      </c>
      <c r="H137" t="s">
        <v>354</v>
      </c>
      <c r="I137" t="str">
        <f t="shared" si="7"/>
        <v xml:space="preserve">   |  CINTA DOBLE ADHESIVO 2 cm | INSUMOS</v>
      </c>
      <c r="J137" s="19">
        <f t="shared" si="6"/>
        <v>1</v>
      </c>
    </row>
    <row r="138" spans="1:10" x14ac:dyDescent="0.25">
      <c r="A138" t="s">
        <v>354</v>
      </c>
      <c r="B138" s="6">
        <v>0</v>
      </c>
      <c r="C138" t="s">
        <v>221</v>
      </c>
      <c r="D138" s="1" t="s">
        <v>23</v>
      </c>
      <c r="E138" t="s">
        <v>135</v>
      </c>
      <c r="F138" s="7" t="s">
        <v>23</v>
      </c>
      <c r="G138" s="7">
        <v>1</v>
      </c>
      <c r="H138" t="s">
        <v>136</v>
      </c>
      <c r="I138" t="str">
        <f t="shared" si="7"/>
        <v xml:space="preserve">   |  CINTA TERMOFIT 3/16'' | INSUMOS</v>
      </c>
      <c r="J138" s="19">
        <f t="shared" si="6"/>
        <v>1</v>
      </c>
    </row>
    <row r="139" spans="1:10" x14ac:dyDescent="0.25">
      <c r="A139" t="s">
        <v>354</v>
      </c>
      <c r="B139" s="6">
        <v>0</v>
      </c>
      <c r="C139" t="s">
        <v>220</v>
      </c>
      <c r="D139" s="1" t="s">
        <v>23</v>
      </c>
      <c r="E139" t="s">
        <v>135</v>
      </c>
      <c r="F139" s="7" t="s">
        <v>23</v>
      </c>
      <c r="G139" s="7">
        <v>1</v>
      </c>
      <c r="H139" t="s">
        <v>222</v>
      </c>
      <c r="I139" t="str">
        <f t="shared" si="7"/>
        <v xml:space="preserve">   |  CINTA TERMOFIT 7/16'' | INSUMOS</v>
      </c>
      <c r="J139" s="19">
        <f t="shared" si="6"/>
        <v>1</v>
      </c>
    </row>
    <row r="140" spans="1:10" x14ac:dyDescent="0.25">
      <c r="A140" t="s">
        <v>354</v>
      </c>
      <c r="B140" s="6">
        <v>0</v>
      </c>
      <c r="C140" t="s">
        <v>151</v>
      </c>
      <c r="D140" s="1" t="s">
        <v>23</v>
      </c>
      <c r="E140" t="s">
        <v>135</v>
      </c>
      <c r="F140" s="7" t="s">
        <v>354</v>
      </c>
      <c r="G140" s="7">
        <v>1</v>
      </c>
      <c r="H140" t="s">
        <v>354</v>
      </c>
      <c r="I140" t="str">
        <f t="shared" si="7"/>
        <v xml:space="preserve">   |  CINTA VELCRO C/PEGAMENTO 1.5 CM | INSUMOS</v>
      </c>
      <c r="J140" s="19">
        <f t="shared" si="6"/>
        <v>1</v>
      </c>
    </row>
    <row r="141" spans="1:10" x14ac:dyDescent="0.25">
      <c r="A141" t="s">
        <v>354</v>
      </c>
      <c r="B141" s="6">
        <v>0</v>
      </c>
      <c r="C141" t="s">
        <v>156</v>
      </c>
      <c r="D141" s="1">
        <v>78205</v>
      </c>
      <c r="E141" t="s">
        <v>135</v>
      </c>
      <c r="F141" s="7" t="s">
        <v>354</v>
      </c>
      <c r="G141" s="7">
        <v>2</v>
      </c>
      <c r="H141" t="s">
        <v>354</v>
      </c>
      <c r="I141" t="str">
        <f t="shared" si="7"/>
        <v xml:space="preserve">   |  PAQUETE CINTILLOS 10 cm | INSUMOS</v>
      </c>
      <c r="J141" s="19">
        <f t="shared" si="6"/>
        <v>2</v>
      </c>
    </row>
    <row r="142" spans="1:10" x14ac:dyDescent="0.25">
      <c r="A142" t="s">
        <v>354</v>
      </c>
      <c r="B142" s="6">
        <v>0</v>
      </c>
      <c r="C142" t="s">
        <v>155</v>
      </c>
      <c r="D142" s="1">
        <v>78206</v>
      </c>
      <c r="E142" t="s">
        <v>135</v>
      </c>
      <c r="F142" s="7">
        <v>0</v>
      </c>
      <c r="G142" s="7">
        <v>1</v>
      </c>
      <c r="H142" t="s">
        <v>354</v>
      </c>
      <c r="I142" t="str">
        <f t="shared" si="7"/>
        <v xml:space="preserve">   |  PAQUETE CINTILLOS 15 cm | INSUMOS</v>
      </c>
      <c r="J142" s="19">
        <f t="shared" si="6"/>
        <v>1</v>
      </c>
    </row>
    <row r="143" spans="1:10" x14ac:dyDescent="0.25">
      <c r="A143" t="s">
        <v>354</v>
      </c>
      <c r="B143" s="6">
        <v>0</v>
      </c>
      <c r="C143" t="s">
        <v>141</v>
      </c>
      <c r="D143" s="1" t="s">
        <v>23</v>
      </c>
      <c r="E143" t="s">
        <v>135</v>
      </c>
      <c r="F143" s="7" t="s">
        <v>142</v>
      </c>
      <c r="G143" s="7">
        <v>1</v>
      </c>
      <c r="H143" t="s">
        <v>354</v>
      </c>
      <c r="I143" t="str">
        <f t="shared" si="7"/>
        <v xml:space="preserve">   |  PASTA P/SOLDAR MARCA STEREN | INSUMOS</v>
      </c>
      <c r="J143" s="19">
        <f t="shared" si="6"/>
        <v>1</v>
      </c>
    </row>
    <row r="144" spans="1:10" x14ac:dyDescent="0.25">
      <c r="A144" t="s">
        <v>354</v>
      </c>
      <c r="B144" s="6">
        <v>0</v>
      </c>
      <c r="C144" t="s">
        <v>129</v>
      </c>
      <c r="D144" s="1" t="s">
        <v>23</v>
      </c>
      <c r="E144" t="s">
        <v>135</v>
      </c>
      <c r="F144" s="7" t="s">
        <v>23</v>
      </c>
      <c r="G144" s="7">
        <v>1</v>
      </c>
      <c r="H144" t="s">
        <v>354</v>
      </c>
      <c r="I144" t="str">
        <f t="shared" si="7"/>
        <v xml:space="preserve">   |  PEGAMENTO UHU UNIVERSAL | INSUMOS</v>
      </c>
      <c r="J144" s="19">
        <f t="shared" si="6"/>
        <v>1</v>
      </c>
    </row>
    <row r="145" spans="1:10" x14ac:dyDescent="0.25">
      <c r="A145" t="s">
        <v>354</v>
      </c>
      <c r="B145" s="6">
        <v>0</v>
      </c>
      <c r="C145" t="s">
        <v>128</v>
      </c>
      <c r="D145" s="1" t="s">
        <v>23</v>
      </c>
      <c r="E145" t="s">
        <v>135</v>
      </c>
      <c r="F145" s="7" t="s">
        <v>23</v>
      </c>
      <c r="G145" s="7">
        <v>1</v>
      </c>
      <c r="H145" t="s">
        <v>354</v>
      </c>
      <c r="I145" t="str">
        <f t="shared" si="7"/>
        <v xml:space="preserve">   |  REMOVEDOR DE POLVO OFFICE DEPOT (3) | INSUMOS</v>
      </c>
      <c r="J145" s="19">
        <f t="shared" si="6"/>
        <v>1</v>
      </c>
    </row>
    <row r="146" spans="1:10" x14ac:dyDescent="0.25">
      <c r="A146" t="s">
        <v>354</v>
      </c>
      <c r="B146" s="6">
        <v>0</v>
      </c>
      <c r="C146" t="s">
        <v>157</v>
      </c>
      <c r="D146" s="1" t="s">
        <v>23</v>
      </c>
      <c r="E146" t="s">
        <v>135</v>
      </c>
      <c r="F146" s="7" t="s">
        <v>354</v>
      </c>
      <c r="G146" s="7">
        <v>1</v>
      </c>
      <c r="H146" t="s">
        <v>354</v>
      </c>
      <c r="I146" t="str">
        <f t="shared" si="7"/>
        <v xml:space="preserve">   |  SUJETADORES 2.2 CM | INSUMOS</v>
      </c>
      <c r="J146" s="19">
        <f t="shared" si="6"/>
        <v>1</v>
      </c>
    </row>
    <row r="147" spans="1:10" x14ac:dyDescent="0.25">
      <c r="A147" t="s">
        <v>354</v>
      </c>
      <c r="B147" s="6">
        <v>0</v>
      </c>
      <c r="C147" t="s">
        <v>124</v>
      </c>
      <c r="D147" s="1" t="s">
        <v>23</v>
      </c>
      <c r="E147" t="s">
        <v>135</v>
      </c>
      <c r="F147" s="7" t="s">
        <v>125</v>
      </c>
      <c r="G147" s="7">
        <v>1</v>
      </c>
      <c r="H147" t="s">
        <v>354</v>
      </c>
      <c r="I147" t="str">
        <f t="shared" si="7"/>
        <v xml:space="preserve">   |  THREAD LOCKER TL-242 | INSUMOS</v>
      </c>
      <c r="J147" s="19">
        <f t="shared" si="6"/>
        <v>1</v>
      </c>
    </row>
    <row r="148" spans="1:10" x14ac:dyDescent="0.25">
      <c r="A148" t="s">
        <v>354</v>
      </c>
      <c r="B148" s="6">
        <v>0</v>
      </c>
      <c r="C148" t="s">
        <v>122</v>
      </c>
      <c r="D148" s="1" t="s">
        <v>23</v>
      </c>
      <c r="E148" t="s">
        <v>135</v>
      </c>
      <c r="F148" s="7" t="s">
        <v>123</v>
      </c>
      <c r="G148" s="7">
        <v>1</v>
      </c>
      <c r="H148" t="s">
        <v>354</v>
      </c>
      <c r="I148" t="str">
        <f t="shared" si="7"/>
        <v xml:space="preserve">   |  THREAD LOCKER TL-680 | INSUMOS</v>
      </c>
      <c r="J148" s="19">
        <f t="shared" si="6"/>
        <v>1</v>
      </c>
    </row>
    <row r="149" spans="1:10" x14ac:dyDescent="0.25">
      <c r="A149" t="s">
        <v>354</v>
      </c>
      <c r="B149" s="6">
        <v>0</v>
      </c>
      <c r="C149" t="s">
        <v>152</v>
      </c>
      <c r="D149" s="1">
        <v>78204</v>
      </c>
      <c r="E149" t="s">
        <v>135</v>
      </c>
      <c r="F149" s="7" t="s">
        <v>354</v>
      </c>
      <c r="G149" s="7">
        <v>8</v>
      </c>
      <c r="H149" t="s">
        <v>354</v>
      </c>
      <c r="I149" t="str">
        <f t="shared" si="7"/>
        <v xml:space="preserve">   |  TIRAS VELCRO 20X2 cm | INSUMOS</v>
      </c>
      <c r="J149" s="19">
        <f t="shared" si="6"/>
        <v>8</v>
      </c>
    </row>
    <row r="150" spans="1:10" x14ac:dyDescent="0.25">
      <c r="A150" t="s">
        <v>354</v>
      </c>
      <c r="B150" s="6">
        <v>0</v>
      </c>
      <c r="C150" t="s">
        <v>154</v>
      </c>
      <c r="D150" s="1">
        <v>90898</v>
      </c>
      <c r="E150" t="s">
        <v>135</v>
      </c>
      <c r="F150" s="7" t="s">
        <v>354</v>
      </c>
      <c r="G150" s="7">
        <v>3</v>
      </c>
      <c r="H150" t="s">
        <v>354</v>
      </c>
      <c r="I150" t="str">
        <f t="shared" si="7"/>
        <v xml:space="preserve">   |  TIRAS VELCRO INDUSTRIALES 25cmX1pulgada | INSUMOS</v>
      </c>
      <c r="J150" s="19">
        <f t="shared" si="6"/>
        <v>3</v>
      </c>
    </row>
    <row r="151" spans="1:10" x14ac:dyDescent="0.25">
      <c r="A151" t="s">
        <v>354</v>
      </c>
      <c r="B151" s="6">
        <v>0</v>
      </c>
      <c r="C151" t="s">
        <v>325</v>
      </c>
      <c r="D151" s="1" t="s">
        <v>354</v>
      </c>
      <c r="E151" t="s">
        <v>135</v>
      </c>
      <c r="F151" s="7" t="s">
        <v>199</v>
      </c>
      <c r="G151" s="7">
        <v>1</v>
      </c>
      <c r="H151" t="s">
        <v>354</v>
      </c>
      <c r="I151" t="str">
        <f t="shared" si="7"/>
        <v xml:space="preserve">   |  CIENTO DE TORNILLOS DE CRUZ 2 CM.  | INSUMOS</v>
      </c>
      <c r="J151" s="19">
        <f t="shared" si="6"/>
        <v>1</v>
      </c>
    </row>
    <row r="152" spans="1:10" x14ac:dyDescent="0.25">
      <c r="A152" t="s">
        <v>354</v>
      </c>
      <c r="B152" s="6">
        <v>0</v>
      </c>
      <c r="C152" t="s">
        <v>150</v>
      </c>
      <c r="D152" s="1" t="s">
        <v>354</v>
      </c>
      <c r="E152" t="s">
        <v>135</v>
      </c>
      <c r="F152" s="7" t="s">
        <v>354</v>
      </c>
      <c r="G152" s="7">
        <v>1</v>
      </c>
      <c r="H152" t="s">
        <v>153</v>
      </c>
      <c r="I152" t="str">
        <f t="shared" si="7"/>
        <v xml:space="preserve">   |  VELCRO C/PEGAMENTO 2 PULGADAS | INSUMOS</v>
      </c>
      <c r="J152" s="19">
        <f t="shared" si="6"/>
        <v>1</v>
      </c>
    </row>
    <row r="153" spans="1:10" x14ac:dyDescent="0.25">
      <c r="A153" t="s">
        <v>354</v>
      </c>
      <c r="B153" s="6">
        <v>0</v>
      </c>
      <c r="C153" t="s">
        <v>252</v>
      </c>
      <c r="D153" s="1" t="s">
        <v>354</v>
      </c>
      <c r="E153" t="s">
        <v>357</v>
      </c>
      <c r="F153" s="7" t="s">
        <v>29</v>
      </c>
      <c r="G153" s="7">
        <v>1</v>
      </c>
      <c r="H153" t="s">
        <v>354</v>
      </c>
      <c r="I153" t="str">
        <f t="shared" si="7"/>
        <v xml:space="preserve">   |  MICRO SD 4 GB GENERICO CLASE 4 | MEMORIAS</v>
      </c>
      <c r="J153" s="19">
        <f t="shared" si="6"/>
        <v>1</v>
      </c>
    </row>
    <row r="154" spans="1:10" x14ac:dyDescent="0.25">
      <c r="A154" t="s">
        <v>354</v>
      </c>
      <c r="B154" s="6">
        <v>0</v>
      </c>
      <c r="C154" t="s">
        <v>251</v>
      </c>
      <c r="D154" s="1" t="s">
        <v>354</v>
      </c>
      <c r="E154" t="s">
        <v>357</v>
      </c>
      <c r="F154" s="7" t="s">
        <v>23</v>
      </c>
      <c r="G154" s="7">
        <v>1</v>
      </c>
      <c r="H154" t="s">
        <v>354</v>
      </c>
      <c r="I154" t="str">
        <f t="shared" si="7"/>
        <v xml:space="preserve">   |  MICRO SD 8 GB MARCA KINGSTON CLASE 4 | MEMORIAS</v>
      </c>
      <c r="J154" s="19">
        <f t="shared" si="6"/>
        <v>1</v>
      </c>
    </row>
    <row r="155" spans="1:10" x14ac:dyDescent="0.25">
      <c r="A155" t="s">
        <v>354</v>
      </c>
      <c r="B155" s="6">
        <v>0</v>
      </c>
      <c r="C155" t="s">
        <v>253</v>
      </c>
      <c r="D155" s="1" t="s">
        <v>23</v>
      </c>
      <c r="E155" t="s">
        <v>118</v>
      </c>
      <c r="F155" s="7" t="s">
        <v>254</v>
      </c>
      <c r="G155" s="7">
        <v>3</v>
      </c>
      <c r="H155" t="s">
        <v>354</v>
      </c>
      <c r="I155" t="str">
        <f t="shared" si="7"/>
        <v xml:space="preserve">   |  ADAPTADOR MICRO SD A SD MARCA SONY | OTROS</v>
      </c>
      <c r="J155" s="19">
        <f t="shared" si="6"/>
        <v>3</v>
      </c>
    </row>
    <row r="156" spans="1:10" x14ac:dyDescent="0.25">
      <c r="A156" t="s">
        <v>354</v>
      </c>
      <c r="B156" s="6">
        <v>0</v>
      </c>
      <c r="C156" t="s">
        <v>198</v>
      </c>
      <c r="D156" s="1" t="s">
        <v>354</v>
      </c>
      <c r="E156" t="s">
        <v>118</v>
      </c>
      <c r="F156" s="7" t="s">
        <v>354</v>
      </c>
      <c r="G156" s="7">
        <v>1</v>
      </c>
      <c r="H156" t="s">
        <v>354</v>
      </c>
      <c r="I156" t="str">
        <f t="shared" si="7"/>
        <v xml:space="preserve">   |  CALCOMANIAS TAROT | OTROS</v>
      </c>
      <c r="J156" s="19">
        <f t="shared" si="6"/>
        <v>1</v>
      </c>
    </row>
    <row r="157" spans="1:10" x14ac:dyDescent="0.25">
      <c r="A157" t="s">
        <v>354</v>
      </c>
      <c r="B157" s="6">
        <v>0</v>
      </c>
      <c r="C157" t="s">
        <v>179</v>
      </c>
      <c r="D157" s="1" t="s">
        <v>23</v>
      </c>
      <c r="E157" t="s">
        <v>118</v>
      </c>
      <c r="F157" s="7" t="s">
        <v>354</v>
      </c>
      <c r="G157" s="7">
        <v>1</v>
      </c>
      <c r="H157" t="s">
        <v>354</v>
      </c>
      <c r="I157" t="str">
        <f t="shared" si="7"/>
        <v xml:space="preserve">   |  CINTA CON LEYENDA "FRAGIL" | OTROS</v>
      </c>
      <c r="J157" s="19">
        <f t="shared" si="6"/>
        <v>1</v>
      </c>
    </row>
    <row r="158" spans="1:10" x14ac:dyDescent="0.25">
      <c r="A158" t="s">
        <v>354</v>
      </c>
      <c r="B158" s="6">
        <v>0</v>
      </c>
      <c r="C158" t="s">
        <v>178</v>
      </c>
      <c r="D158" s="1" t="s">
        <v>23</v>
      </c>
      <c r="E158" t="s">
        <v>118</v>
      </c>
      <c r="F158" s="7" t="s">
        <v>354</v>
      </c>
      <c r="G158" s="7">
        <v>1</v>
      </c>
      <c r="H158" t="s">
        <v>354</v>
      </c>
      <c r="I158" t="str">
        <f t="shared" si="7"/>
        <v xml:space="preserve">   |  CINTA CON LEYENDA "PROHIBIDO" | OTROS</v>
      </c>
      <c r="J158" s="19">
        <f t="shared" si="6"/>
        <v>1</v>
      </c>
    </row>
    <row r="159" spans="1:10" x14ac:dyDescent="0.25">
      <c r="A159" t="s">
        <v>354</v>
      </c>
      <c r="B159" s="6">
        <v>0</v>
      </c>
      <c r="C159" t="s">
        <v>173</v>
      </c>
      <c r="D159" s="1" t="s">
        <v>23</v>
      </c>
      <c r="E159" t="s">
        <v>118</v>
      </c>
      <c r="F159" s="7" t="s">
        <v>354</v>
      </c>
      <c r="G159" s="7">
        <v>1</v>
      </c>
      <c r="H159" t="s">
        <v>354</v>
      </c>
      <c r="I159" t="str">
        <f t="shared" si="7"/>
        <v xml:space="preserve">   |  CINTA DE AISLAR | OTROS</v>
      </c>
      <c r="J159" s="19">
        <f t="shared" si="6"/>
        <v>1</v>
      </c>
    </row>
    <row r="160" spans="1:10" x14ac:dyDescent="0.25">
      <c r="A160" t="s">
        <v>354</v>
      </c>
      <c r="B160" s="6">
        <v>0</v>
      </c>
      <c r="C160" t="s">
        <v>200</v>
      </c>
      <c r="D160" s="1" t="s">
        <v>354</v>
      </c>
      <c r="E160" t="s">
        <v>118</v>
      </c>
      <c r="F160" s="7" t="s">
        <v>23</v>
      </c>
      <c r="G160" s="7">
        <v>1</v>
      </c>
      <c r="H160" t="s">
        <v>354</v>
      </c>
      <c r="I160" t="str">
        <f t="shared" si="7"/>
        <v xml:space="preserve">   |  FOCO AHORRADOW 13 W  | OTROS</v>
      </c>
      <c r="J160" s="19">
        <f t="shared" si="6"/>
        <v>1</v>
      </c>
    </row>
    <row r="161" spans="1:10" x14ac:dyDescent="0.25">
      <c r="A161" t="s">
        <v>354</v>
      </c>
      <c r="B161" s="6">
        <v>0</v>
      </c>
      <c r="C161" t="s">
        <v>144</v>
      </c>
      <c r="D161" s="1" t="s">
        <v>23</v>
      </c>
      <c r="E161" t="s">
        <v>118</v>
      </c>
      <c r="F161" s="7" t="s">
        <v>23</v>
      </c>
      <c r="G161" s="7">
        <v>1</v>
      </c>
      <c r="H161" t="s">
        <v>354</v>
      </c>
      <c r="I161" t="str">
        <f t="shared" si="7"/>
        <v xml:space="preserve">   |  KIT PRIMEROS AUXILIOS  | OTROS</v>
      </c>
      <c r="J161" s="19">
        <f t="shared" si="6"/>
        <v>1</v>
      </c>
    </row>
    <row r="162" spans="1:10" x14ac:dyDescent="0.25">
      <c r="A162" t="s">
        <v>354</v>
      </c>
      <c r="B162" s="6">
        <v>10</v>
      </c>
      <c r="C162" t="s">
        <v>143</v>
      </c>
      <c r="D162" s="1" t="s">
        <v>23</v>
      </c>
      <c r="E162" t="s">
        <v>118</v>
      </c>
      <c r="F162" s="7" t="s">
        <v>23</v>
      </c>
      <c r="G162" s="7">
        <v>10</v>
      </c>
      <c r="H162" t="s">
        <v>354</v>
      </c>
      <c r="I162" t="str">
        <f t="shared" ref="I162:I186" si="8">(A162&amp;"  |  "&amp;C162&amp;" | "&amp;E162)</f>
        <v xml:space="preserve">   |  PUNTOS DE CONTROL LONA | OTROS</v>
      </c>
      <c r="J162" s="19">
        <f t="shared" si="6"/>
        <v>20</v>
      </c>
    </row>
    <row r="163" spans="1:10" x14ac:dyDescent="0.25">
      <c r="A163" t="s">
        <v>354</v>
      </c>
      <c r="B163" s="6">
        <v>6</v>
      </c>
      <c r="C163" t="s">
        <v>145</v>
      </c>
      <c r="D163" s="1" t="s">
        <v>23</v>
      </c>
      <c r="E163" t="s">
        <v>118</v>
      </c>
      <c r="F163" s="7" t="s">
        <v>23</v>
      </c>
      <c r="G163" s="7">
        <v>6</v>
      </c>
      <c r="H163" t="s">
        <v>354</v>
      </c>
      <c r="I163" t="str">
        <f t="shared" si="8"/>
        <v xml:space="preserve">   |  PUNTOS DE CONTROL PLASTICO  | OTROS</v>
      </c>
      <c r="J163" s="19">
        <f t="shared" si="6"/>
        <v>12</v>
      </c>
    </row>
    <row r="164" spans="1:10" x14ac:dyDescent="0.25">
      <c r="A164" t="s">
        <v>354</v>
      </c>
      <c r="B164" s="6">
        <v>4</v>
      </c>
      <c r="C164" t="s">
        <v>278</v>
      </c>
      <c r="D164" s="1" t="s">
        <v>23</v>
      </c>
      <c r="E164" t="s">
        <v>349</v>
      </c>
      <c r="F164" s="7" t="s">
        <v>279</v>
      </c>
      <c r="G164" s="7">
        <v>4</v>
      </c>
      <c r="H164" t="s">
        <v>354</v>
      </c>
      <c r="I164" t="str">
        <f t="shared" si="8"/>
        <v xml:space="preserve">   |  CASCOS TAROT 680 | REFACCIONES</v>
      </c>
      <c r="J164" s="19">
        <f t="shared" si="6"/>
        <v>8</v>
      </c>
    </row>
    <row r="165" spans="1:10" x14ac:dyDescent="0.25">
      <c r="A165" t="s">
        <v>354</v>
      </c>
      <c r="B165" s="6">
        <v>10</v>
      </c>
      <c r="C165" t="s">
        <v>250</v>
      </c>
      <c r="D165" s="1" t="s">
        <v>23</v>
      </c>
      <c r="E165" t="s">
        <v>349</v>
      </c>
      <c r="F165" s="7" t="s">
        <v>23</v>
      </c>
      <c r="G165" s="7">
        <v>10</v>
      </c>
      <c r="H165" t="s">
        <v>352</v>
      </c>
      <c r="I165" t="str">
        <f t="shared" si="8"/>
        <v xml:space="preserve">   |  GOMAS SUPRESORAS DE CHOQUE | REFACCIONES</v>
      </c>
      <c r="J165" s="19">
        <f t="shared" si="6"/>
        <v>20</v>
      </c>
    </row>
    <row r="166" spans="1:10" x14ac:dyDescent="0.25">
      <c r="A166" t="s">
        <v>354</v>
      </c>
      <c r="B166" s="6">
        <v>20</v>
      </c>
      <c r="C166" t="s">
        <v>272</v>
      </c>
      <c r="D166" s="1" t="s">
        <v>23</v>
      </c>
      <c r="E166" t="s">
        <v>349</v>
      </c>
      <c r="F166" s="7" t="s">
        <v>273</v>
      </c>
      <c r="G166" s="7">
        <v>20</v>
      </c>
      <c r="H166" t="s">
        <v>354</v>
      </c>
      <c r="I166" t="str">
        <f t="shared" si="8"/>
        <v xml:space="preserve">   |  GOMAS PARA PATAS 10 MM. TAROT | REFACCIONES</v>
      </c>
      <c r="J166" s="19">
        <f t="shared" si="6"/>
        <v>40</v>
      </c>
    </row>
    <row r="167" spans="1:10" x14ac:dyDescent="0.25">
      <c r="A167" t="s">
        <v>354</v>
      </c>
      <c r="B167" s="6">
        <v>3</v>
      </c>
      <c r="C167" t="s">
        <v>276</v>
      </c>
      <c r="D167" s="1" t="s">
        <v>354</v>
      </c>
      <c r="E167" t="s">
        <v>349</v>
      </c>
      <c r="F167" s="7" t="s">
        <v>277</v>
      </c>
      <c r="G167" s="7">
        <v>1</v>
      </c>
      <c r="H167" t="s">
        <v>354</v>
      </c>
      <c r="I167" t="str">
        <f t="shared" si="8"/>
        <v xml:space="preserve">   |  MASTIL GPS COLOR ROSA | REFACCIONES</v>
      </c>
      <c r="J167" s="19">
        <f t="shared" si="6"/>
        <v>4</v>
      </c>
    </row>
    <row r="168" spans="1:10" x14ac:dyDescent="0.25">
      <c r="A168" t="s">
        <v>354</v>
      </c>
      <c r="B168" s="6">
        <v>12</v>
      </c>
      <c r="C168" t="s">
        <v>274</v>
      </c>
      <c r="D168" s="1" t="s">
        <v>354</v>
      </c>
      <c r="E168" t="s">
        <v>349</v>
      </c>
      <c r="F168" s="7" t="s">
        <v>275</v>
      </c>
      <c r="G168" s="7">
        <v>12</v>
      </c>
      <c r="H168" t="s">
        <v>365</v>
      </c>
      <c r="I168" t="str">
        <f t="shared" si="8"/>
        <v xml:space="preserve">   |  MONTURA ARO DE METAL C/GOMA 10 MM. | REFACCIONES</v>
      </c>
      <c r="J168" s="19">
        <f t="shared" si="6"/>
        <v>24</v>
      </c>
    </row>
    <row r="169" spans="1:10" x14ac:dyDescent="0.25">
      <c r="A169" t="s">
        <v>354</v>
      </c>
      <c r="B169" s="6">
        <v>4</v>
      </c>
      <c r="C169" t="s">
        <v>263</v>
      </c>
      <c r="D169" s="1" t="s">
        <v>354</v>
      </c>
      <c r="E169" t="s">
        <v>349</v>
      </c>
      <c r="F169" s="7" t="s">
        <v>354</v>
      </c>
      <c r="G169" s="7">
        <v>4</v>
      </c>
      <c r="H169" t="s">
        <v>354</v>
      </c>
      <c r="I169" t="str">
        <f t="shared" si="8"/>
        <v xml:space="preserve">   |  MONTURA DE BRAZO TAROT 680 ROJO 16 MM.  | REFACCIONES</v>
      </c>
      <c r="J169" s="19">
        <f t="shared" si="6"/>
        <v>8</v>
      </c>
    </row>
    <row r="170" spans="1:10" x14ac:dyDescent="0.25">
      <c r="A170" t="s">
        <v>354</v>
      </c>
      <c r="B170" s="6">
        <v>4</v>
      </c>
      <c r="C170" t="s">
        <v>268</v>
      </c>
      <c r="D170" s="1" t="s">
        <v>354</v>
      </c>
      <c r="E170" t="s">
        <v>349</v>
      </c>
      <c r="F170" s="7" t="s">
        <v>269</v>
      </c>
      <c r="G170" s="7">
        <v>4</v>
      </c>
      <c r="H170" t="s">
        <v>354</v>
      </c>
      <c r="I170" t="str">
        <f t="shared" si="8"/>
        <v xml:space="preserve">   |  MONTURA DE MOTOR /ESC TAROT 680 NEGRO | REFACCIONES</v>
      </c>
      <c r="J170" s="19">
        <f t="shared" si="6"/>
        <v>8</v>
      </c>
    </row>
    <row r="171" spans="1:10" x14ac:dyDescent="0.25">
      <c r="A171" t="s">
        <v>354</v>
      </c>
      <c r="B171" s="6">
        <v>2</v>
      </c>
      <c r="C171" t="s">
        <v>270</v>
      </c>
      <c r="D171" s="1" t="s">
        <v>354</v>
      </c>
      <c r="E171" t="s">
        <v>349</v>
      </c>
      <c r="F171" s="7" t="s">
        <v>271</v>
      </c>
      <c r="G171" s="7">
        <v>2</v>
      </c>
      <c r="H171" t="s">
        <v>354</v>
      </c>
      <c r="I171" t="str">
        <f t="shared" si="8"/>
        <v xml:space="preserve">   |  MONTURA DE MOTOR /ESC TAROT 680 ROJO | REFACCIONES</v>
      </c>
      <c r="J171" s="19">
        <f t="shared" si="6"/>
        <v>4</v>
      </c>
    </row>
    <row r="172" spans="1:10" x14ac:dyDescent="0.25">
      <c r="A172" t="s">
        <v>354</v>
      </c>
      <c r="B172" s="6">
        <v>1</v>
      </c>
      <c r="C172" t="s">
        <v>280</v>
      </c>
      <c r="D172" s="1" t="s">
        <v>354</v>
      </c>
      <c r="E172" t="s">
        <v>349</v>
      </c>
      <c r="F172" s="7" t="s">
        <v>281</v>
      </c>
      <c r="G172" s="7">
        <v>1</v>
      </c>
      <c r="H172" t="s">
        <v>354</v>
      </c>
      <c r="I172" t="str">
        <f t="shared" si="8"/>
        <v xml:space="preserve">   |  MONTURA MOVIL PARA PATAS | REFACCIONES</v>
      </c>
      <c r="J172" s="19">
        <f t="shared" si="6"/>
        <v>2</v>
      </c>
    </row>
    <row r="173" spans="1:10" x14ac:dyDescent="0.25">
      <c r="A173" t="s">
        <v>354</v>
      </c>
      <c r="B173" s="6">
        <v>8</v>
      </c>
      <c r="C173" t="s">
        <v>323</v>
      </c>
      <c r="D173" s="1" t="s">
        <v>23</v>
      </c>
      <c r="E173" t="s">
        <v>349</v>
      </c>
      <c r="F173" s="7" t="s">
        <v>299</v>
      </c>
      <c r="G173" s="7">
        <v>8</v>
      </c>
      <c r="H173" t="s">
        <v>354</v>
      </c>
      <c r="I173" t="str">
        <f t="shared" si="8"/>
        <v xml:space="preserve">   |  PARES DE HELICES 13''X5° FIBRA DE CARBONO | REFACCIONES</v>
      </c>
      <c r="J173" s="19">
        <f t="shared" si="6"/>
        <v>16</v>
      </c>
    </row>
    <row r="174" spans="1:10" x14ac:dyDescent="0.25">
      <c r="A174" t="s">
        <v>354</v>
      </c>
      <c r="B174" s="6">
        <v>3</v>
      </c>
      <c r="C174" t="s">
        <v>266</v>
      </c>
      <c r="D174" s="1" t="s">
        <v>354</v>
      </c>
      <c r="E174" t="s">
        <v>349</v>
      </c>
      <c r="F174" s="7" t="s">
        <v>267</v>
      </c>
      <c r="G174" s="7">
        <v>3</v>
      </c>
      <c r="H174" t="s">
        <v>354</v>
      </c>
      <c r="I174" t="str">
        <f t="shared" si="8"/>
        <v xml:space="preserve">   |  PLATAFORMA DE ANTICHOQUE PARA CONTROLADOR DE VUELO | REFACCIONES</v>
      </c>
      <c r="J174" s="19">
        <f t="shared" si="6"/>
        <v>6</v>
      </c>
    </row>
    <row r="175" spans="1:10" x14ac:dyDescent="0.25">
      <c r="A175" t="s">
        <v>354</v>
      </c>
      <c r="B175" s="6">
        <v>2</v>
      </c>
      <c r="C175" t="s">
        <v>287</v>
      </c>
      <c r="D175" s="1" t="s">
        <v>23</v>
      </c>
      <c r="E175" t="s">
        <v>349</v>
      </c>
      <c r="F175" s="7" t="s">
        <v>23</v>
      </c>
      <c r="G175" s="7">
        <v>2</v>
      </c>
      <c r="H175" t="s">
        <v>354</v>
      </c>
      <c r="I175" t="str">
        <f t="shared" si="8"/>
        <v xml:space="preserve">   |  PORTA ANTENA C/4 TORNILLOS | REFACCIONES</v>
      </c>
      <c r="J175" s="19">
        <f t="shared" si="6"/>
        <v>4</v>
      </c>
    </row>
    <row r="176" spans="1:10" x14ac:dyDescent="0.25">
      <c r="A176" t="s">
        <v>354</v>
      </c>
      <c r="B176" s="6">
        <v>1</v>
      </c>
      <c r="C176" t="s">
        <v>264</v>
      </c>
      <c r="D176" s="1" t="s">
        <v>354</v>
      </c>
      <c r="E176" t="s">
        <v>349</v>
      </c>
      <c r="F176" s="7" t="s">
        <v>265</v>
      </c>
      <c r="G176" s="7">
        <v>1</v>
      </c>
      <c r="H176" t="s">
        <v>354</v>
      </c>
      <c r="I176" t="str">
        <f t="shared" si="8"/>
        <v xml:space="preserve">   |  SOPORTE DE ALUMINIO TAROT 680 30 MM. X M2 | REFACCIONES</v>
      </c>
      <c r="J176" s="19">
        <f t="shared" si="6"/>
        <v>2</v>
      </c>
    </row>
    <row r="177" spans="1:10" x14ac:dyDescent="0.25">
      <c r="A177" t="s">
        <v>354</v>
      </c>
      <c r="B177" s="6">
        <v>6</v>
      </c>
      <c r="C177" t="s">
        <v>260</v>
      </c>
      <c r="D177" s="1" t="s">
        <v>354</v>
      </c>
      <c r="E177" t="s">
        <v>349</v>
      </c>
      <c r="F177" s="7" t="s">
        <v>258</v>
      </c>
      <c r="G177" s="7">
        <v>6</v>
      </c>
      <c r="H177" t="s">
        <v>354</v>
      </c>
      <c r="I177" t="str">
        <f t="shared" si="8"/>
        <v xml:space="preserve">   |  SOPORTE DE BRAZO MARCA TAROT 680 NEGRO 16 MM.  | REFACCIONES</v>
      </c>
      <c r="J177" s="19">
        <f t="shared" si="6"/>
        <v>12</v>
      </c>
    </row>
    <row r="178" spans="1:10" x14ac:dyDescent="0.25">
      <c r="A178" t="s">
        <v>354</v>
      </c>
      <c r="B178" s="6">
        <v>10</v>
      </c>
      <c r="C178" t="s">
        <v>259</v>
      </c>
      <c r="D178" s="1" t="s">
        <v>354</v>
      </c>
      <c r="E178" t="s">
        <v>349</v>
      </c>
      <c r="F178" s="7" t="s">
        <v>257</v>
      </c>
      <c r="G178" s="7">
        <v>10</v>
      </c>
      <c r="H178" t="s">
        <v>354</v>
      </c>
      <c r="I178" t="str">
        <f t="shared" si="8"/>
        <v xml:space="preserve">   |  SOPORTE DE BRAZO MARCA TAROT 680 ROJO 16 MM.  | REFACCIONES</v>
      </c>
      <c r="J178" s="19">
        <f t="shared" si="6"/>
        <v>20</v>
      </c>
    </row>
    <row r="179" spans="1:10" x14ac:dyDescent="0.25">
      <c r="A179" t="s">
        <v>354</v>
      </c>
      <c r="B179" s="6">
        <v>2</v>
      </c>
      <c r="C179" t="s">
        <v>261</v>
      </c>
      <c r="D179" s="1" t="s">
        <v>354</v>
      </c>
      <c r="E179" t="s">
        <v>349</v>
      </c>
      <c r="F179" s="7" t="s">
        <v>262</v>
      </c>
      <c r="G179" s="7">
        <v>2</v>
      </c>
      <c r="H179" t="s">
        <v>354</v>
      </c>
      <c r="I179" t="str">
        <f t="shared" si="8"/>
        <v xml:space="preserve">   |  SOPORTE Y MONTURA DE BRAZO MARCA TAROT 680 NEGRO | REFACCIONES</v>
      </c>
      <c r="J179" s="19">
        <f t="shared" si="6"/>
        <v>4</v>
      </c>
    </row>
    <row r="180" spans="1:10" x14ac:dyDescent="0.25">
      <c r="A180" t="s">
        <v>295</v>
      </c>
      <c r="B180" s="6">
        <v>1</v>
      </c>
      <c r="C180" t="s">
        <v>294</v>
      </c>
      <c r="D180" s="1" t="s">
        <v>23</v>
      </c>
      <c r="E180" t="s">
        <v>349</v>
      </c>
      <c r="F180" s="7" t="s">
        <v>23</v>
      </c>
      <c r="G180" s="7">
        <v>1</v>
      </c>
      <c r="H180" t="s">
        <v>354</v>
      </c>
      <c r="I180" t="str">
        <f t="shared" si="8"/>
        <v>EGEAR-01  |  TREN RETRACTIL ELECTRICO  | REFACCIONES</v>
      </c>
      <c r="J180" s="19">
        <f t="shared" si="6"/>
        <v>2</v>
      </c>
    </row>
    <row r="181" spans="1:10" x14ac:dyDescent="0.25">
      <c r="A181" t="s">
        <v>296</v>
      </c>
      <c r="B181" s="6">
        <v>0</v>
      </c>
      <c r="C181" t="s">
        <v>294</v>
      </c>
      <c r="D181" s="1" t="s">
        <v>23</v>
      </c>
      <c r="E181" t="s">
        <v>349</v>
      </c>
      <c r="F181" s="7" t="s">
        <v>23</v>
      </c>
      <c r="G181" s="7">
        <v>1</v>
      </c>
      <c r="H181" t="s">
        <v>297</v>
      </c>
      <c r="I181" t="str">
        <f t="shared" si="8"/>
        <v>EGEAR-02  |  TREN RETRACTIL ELECTRICO  | REFACCIONES</v>
      </c>
      <c r="J181" s="19">
        <f t="shared" si="6"/>
        <v>1</v>
      </c>
    </row>
    <row r="182" spans="1:10" x14ac:dyDescent="0.25">
      <c r="A182" t="s">
        <v>354</v>
      </c>
      <c r="B182" s="6">
        <v>3</v>
      </c>
      <c r="C182" t="s">
        <v>327</v>
      </c>
      <c r="D182" s="1" t="s">
        <v>23</v>
      </c>
      <c r="E182" t="s">
        <v>349</v>
      </c>
      <c r="F182" s="7" t="s">
        <v>23</v>
      </c>
      <c r="G182" s="7">
        <v>3</v>
      </c>
      <c r="H182" t="s">
        <v>353</v>
      </c>
      <c r="I182" t="str">
        <f t="shared" si="8"/>
        <v xml:space="preserve">   |  TUBOS DE CARBONO 10mm. 75 cm. (3) | REFACCIONES</v>
      </c>
      <c r="J182" s="19">
        <f t="shared" si="6"/>
        <v>6</v>
      </c>
    </row>
    <row r="183" spans="1:10" x14ac:dyDescent="0.25">
      <c r="A183" t="s">
        <v>105</v>
      </c>
      <c r="B183" s="6">
        <v>0</v>
      </c>
      <c r="C183" t="s">
        <v>358</v>
      </c>
      <c r="D183" s="1" t="s">
        <v>106</v>
      </c>
      <c r="E183" t="s">
        <v>350</v>
      </c>
      <c r="F183" s="7" t="s">
        <v>107</v>
      </c>
      <c r="G183" s="7">
        <v>1</v>
      </c>
      <c r="H183" t="s">
        <v>108</v>
      </c>
      <c r="I183" t="str">
        <f t="shared" si="8"/>
        <v>GSC-DD-Y-0041  |  TABLET (DELTA Y) DELL LATITUDE 12 RUGGED 7202 | COMPUTADORA</v>
      </c>
      <c r="J183" s="19">
        <f t="shared" ref="J183:J186" si="9">SUM(B183,G183)</f>
        <v>1</v>
      </c>
    </row>
    <row r="184" spans="1:10" x14ac:dyDescent="0.25">
      <c r="A184" t="s">
        <v>354</v>
      </c>
      <c r="B184" s="6">
        <v>0</v>
      </c>
      <c r="C184" t="s">
        <v>344</v>
      </c>
      <c r="D184" s="1" t="s">
        <v>364</v>
      </c>
      <c r="E184" t="s">
        <v>350</v>
      </c>
      <c r="F184" s="7" t="s">
        <v>363</v>
      </c>
      <c r="G184" s="7">
        <v>1</v>
      </c>
      <c r="I184" t="str">
        <f t="shared" si="8"/>
        <v xml:space="preserve">   |  IPAD MINI 4 16 GB | COMPUTADORA</v>
      </c>
      <c r="J184" s="19">
        <f t="shared" si="9"/>
        <v>1</v>
      </c>
    </row>
    <row r="185" spans="1:10" x14ac:dyDescent="0.25">
      <c r="A185" t="s">
        <v>359</v>
      </c>
      <c r="B185" s="6">
        <v>1</v>
      </c>
      <c r="C185" t="s">
        <v>360</v>
      </c>
      <c r="D185" s="1" t="s">
        <v>23</v>
      </c>
      <c r="E185" t="s">
        <v>357</v>
      </c>
      <c r="F185" s="16" t="s">
        <v>23</v>
      </c>
      <c r="G185" s="16">
        <v>0</v>
      </c>
      <c r="H185" t="s">
        <v>361</v>
      </c>
      <c r="I185" t="str">
        <f t="shared" si="8"/>
        <v>MEMORIA-01  |  MICRO SD 4 GB KINGSTON | MEMORIAS</v>
      </c>
      <c r="J185" s="19">
        <f t="shared" si="9"/>
        <v>1</v>
      </c>
    </row>
    <row r="186" spans="1:10" x14ac:dyDescent="0.25">
      <c r="B186" s="6">
        <v>1</v>
      </c>
      <c r="C186" t="s">
        <v>362</v>
      </c>
      <c r="D186" s="1">
        <v>12341243</v>
      </c>
      <c r="E186" t="s">
        <v>357</v>
      </c>
      <c r="F186" s="16">
        <v>1242143214</v>
      </c>
      <c r="G186" s="16">
        <v>1</v>
      </c>
      <c r="H186" t="s">
        <v>354</v>
      </c>
      <c r="I186" t="str">
        <f t="shared" si="8"/>
        <v xml:space="preserve">  |  MEMORIA 2 | MEMORIAS</v>
      </c>
      <c r="J186" s="19">
        <f t="shared" si="9"/>
        <v>2</v>
      </c>
    </row>
    <row r="187" spans="1:10" x14ac:dyDescent="0.25">
      <c r="A187" t="s">
        <v>382</v>
      </c>
      <c r="B187" s="6">
        <v>10</v>
      </c>
      <c r="C187" t="s">
        <v>382</v>
      </c>
      <c r="D187" s="1" t="s">
        <v>382</v>
      </c>
      <c r="E187" t="s">
        <v>382</v>
      </c>
      <c r="F187" s="22" t="s">
        <v>382</v>
      </c>
      <c r="G187" s="22">
        <v>10</v>
      </c>
      <c r="H187" t="s">
        <v>382</v>
      </c>
      <c r="I187" s="19" t="str">
        <f>(A187&amp;"  |  "&amp;C187&amp;" | "&amp;E187)</f>
        <v>pruebafinal  |  pruebafinal | pruebafinal</v>
      </c>
      <c r="J187" s="19">
        <f>SUM(B187,G187)</f>
        <v>20</v>
      </c>
    </row>
    <row r="188" spans="1:10" x14ac:dyDescent="0.25">
      <c r="A188" t="s">
        <v>381</v>
      </c>
      <c r="B188" s="6">
        <v>10</v>
      </c>
      <c r="C188" t="s">
        <v>379</v>
      </c>
      <c r="D188" s="1" t="s">
        <v>379</v>
      </c>
      <c r="E188" t="s">
        <v>379</v>
      </c>
      <c r="F188" s="22" t="s">
        <v>379</v>
      </c>
      <c r="G188" s="22">
        <v>10</v>
      </c>
      <c r="H188" t="s">
        <v>379</v>
      </c>
      <c r="I188" s="19" t="str">
        <f>(A188&amp;"  |  "&amp;C188&amp;" | "&amp;E188)</f>
        <v>prueba1  |  prueba2 | prueba2</v>
      </c>
      <c r="J188" s="19">
        <f>SUM(B188,G188)</f>
        <v>20</v>
      </c>
    </row>
    <row r="189" spans="1:10" x14ac:dyDescent="0.25">
      <c r="B189" s="6"/>
      <c r="F189" s="22"/>
      <c r="G189" s="22" t="s">
        <v>354</v>
      </c>
      <c r="I189" s="19" t="str">
        <f>(A189&amp;"  |  "&amp;C189&amp;" | "&amp;E189)</f>
        <v xml:space="preserve">  |   | </v>
      </c>
      <c r="J189" s="19">
        <f>SUM(B189,G189)</f>
        <v>0</v>
      </c>
    </row>
    <row r="190" spans="1:10" x14ac:dyDescent="0.25">
      <c r="B190" s="6"/>
      <c r="F190" s="22"/>
      <c r="G190" s="22" t="s">
        <v>354</v>
      </c>
      <c r="I190" s="19" t="str">
        <f>(A190&amp;"  |  "&amp;C190&amp;" | "&amp;E190)</f>
        <v xml:space="preserve">  |   | </v>
      </c>
      <c r="J190" s="19">
        <f>SUM(B190,G190)</f>
        <v>0</v>
      </c>
    </row>
    <row r="801" spans="7:7" x14ac:dyDescent="0.25">
      <c r="G801" t="s">
        <v>354</v>
      </c>
    </row>
    <row r="802" spans="7:7" x14ac:dyDescent="0.25">
      <c r="G802" t="s">
        <v>354</v>
      </c>
    </row>
    <row r="803" spans="7:7" x14ac:dyDescent="0.25">
      <c r="G803" t="s">
        <v>354</v>
      </c>
    </row>
    <row r="804" spans="7:7" x14ac:dyDescent="0.25">
      <c r="G804" t="s">
        <v>354</v>
      </c>
    </row>
    <row r="805" spans="7:7" x14ac:dyDescent="0.25">
      <c r="G805" t="s">
        <v>354</v>
      </c>
    </row>
    <row r="806" spans="7:7" x14ac:dyDescent="0.25">
      <c r="G806" t="s">
        <v>354</v>
      </c>
    </row>
    <row r="807" spans="7:7" x14ac:dyDescent="0.25">
      <c r="G807" t="s">
        <v>354</v>
      </c>
    </row>
    <row r="808" spans="7:7" x14ac:dyDescent="0.25">
      <c r="G808" t="s">
        <v>354</v>
      </c>
    </row>
    <row r="809" spans="7:7" x14ac:dyDescent="0.25">
      <c r="G809" t="s">
        <v>354</v>
      </c>
    </row>
    <row r="810" spans="7:7" x14ac:dyDescent="0.25">
      <c r="G810" t="s">
        <v>354</v>
      </c>
    </row>
    <row r="811" spans="7:7" x14ac:dyDescent="0.25">
      <c r="G811" t="s">
        <v>354</v>
      </c>
    </row>
    <row r="812" spans="7:7" x14ac:dyDescent="0.25">
      <c r="G812" t="s">
        <v>354</v>
      </c>
    </row>
    <row r="813" spans="7:7" x14ac:dyDescent="0.25">
      <c r="G813" t="s">
        <v>354</v>
      </c>
    </row>
    <row r="814" spans="7:7" x14ac:dyDescent="0.25">
      <c r="G814" t="s">
        <v>354</v>
      </c>
    </row>
    <row r="815" spans="7:7" x14ac:dyDescent="0.25">
      <c r="G815" t="s">
        <v>354</v>
      </c>
    </row>
    <row r="816" spans="7:7" x14ac:dyDescent="0.25">
      <c r="G816" t="s">
        <v>354</v>
      </c>
    </row>
    <row r="817" spans="7:7" x14ac:dyDescent="0.25">
      <c r="G817" t="s">
        <v>354</v>
      </c>
    </row>
    <row r="818" spans="7:7" x14ac:dyDescent="0.25">
      <c r="G818" t="s">
        <v>354</v>
      </c>
    </row>
    <row r="819" spans="7:7" x14ac:dyDescent="0.25">
      <c r="G819" t="s">
        <v>354</v>
      </c>
    </row>
    <row r="820" spans="7:7" x14ac:dyDescent="0.25">
      <c r="G820" t="s">
        <v>354</v>
      </c>
    </row>
    <row r="821" spans="7:7" x14ac:dyDescent="0.25">
      <c r="G821" t="s">
        <v>354</v>
      </c>
    </row>
    <row r="822" spans="7:7" x14ac:dyDescent="0.25">
      <c r="G822" t="s">
        <v>354</v>
      </c>
    </row>
    <row r="823" spans="7:7" x14ac:dyDescent="0.25">
      <c r="G823" t="s">
        <v>354</v>
      </c>
    </row>
    <row r="824" spans="7:7" x14ac:dyDescent="0.25">
      <c r="G824" t="s">
        <v>354</v>
      </c>
    </row>
    <row r="825" spans="7:7" x14ac:dyDescent="0.25">
      <c r="G825" t="s">
        <v>354</v>
      </c>
    </row>
    <row r="826" spans="7:7" x14ac:dyDescent="0.25">
      <c r="G826" t="s">
        <v>354</v>
      </c>
    </row>
    <row r="827" spans="7:7" x14ac:dyDescent="0.25">
      <c r="G827" t="s">
        <v>354</v>
      </c>
    </row>
    <row r="828" spans="7:7" x14ac:dyDescent="0.25">
      <c r="G828" t="s">
        <v>354</v>
      </c>
    </row>
    <row r="829" spans="7:7" x14ac:dyDescent="0.25">
      <c r="G829" t="s">
        <v>354</v>
      </c>
    </row>
    <row r="830" spans="7:7" x14ac:dyDescent="0.25">
      <c r="G830" t="s">
        <v>354</v>
      </c>
    </row>
    <row r="831" spans="7:7" x14ac:dyDescent="0.25">
      <c r="G831" t="s">
        <v>354</v>
      </c>
    </row>
    <row r="832" spans="7:7" x14ac:dyDescent="0.25">
      <c r="G832" t="s">
        <v>354</v>
      </c>
    </row>
    <row r="833" spans="7:7" x14ac:dyDescent="0.25">
      <c r="G833" t="s">
        <v>354</v>
      </c>
    </row>
    <row r="834" spans="7:7" x14ac:dyDescent="0.25">
      <c r="G834" t="s">
        <v>354</v>
      </c>
    </row>
    <row r="835" spans="7:7" x14ac:dyDescent="0.25">
      <c r="G835" t="s">
        <v>354</v>
      </c>
    </row>
    <row r="836" spans="7:7" x14ac:dyDescent="0.25">
      <c r="G836" t="s">
        <v>354</v>
      </c>
    </row>
    <row r="837" spans="7:7" x14ac:dyDescent="0.25">
      <c r="G837" t="s">
        <v>354</v>
      </c>
    </row>
    <row r="838" spans="7:7" x14ac:dyDescent="0.25">
      <c r="G838" t="s">
        <v>354</v>
      </c>
    </row>
    <row r="839" spans="7:7" x14ac:dyDescent="0.25">
      <c r="G839" t="s">
        <v>354</v>
      </c>
    </row>
    <row r="840" spans="7:7" x14ac:dyDescent="0.25">
      <c r="G840" t="s">
        <v>354</v>
      </c>
    </row>
    <row r="841" spans="7:7" x14ac:dyDescent="0.25">
      <c r="G841" t="s">
        <v>354</v>
      </c>
    </row>
    <row r="842" spans="7:7" x14ac:dyDescent="0.25">
      <c r="G842" t="s">
        <v>354</v>
      </c>
    </row>
    <row r="843" spans="7:7" x14ac:dyDescent="0.25">
      <c r="G843" t="s">
        <v>354</v>
      </c>
    </row>
    <row r="844" spans="7:7" x14ac:dyDescent="0.25">
      <c r="G844" t="s">
        <v>354</v>
      </c>
    </row>
    <row r="845" spans="7:7" x14ac:dyDescent="0.25">
      <c r="G845" t="s">
        <v>354</v>
      </c>
    </row>
    <row r="846" spans="7:7" x14ac:dyDescent="0.25">
      <c r="G846" t="s">
        <v>354</v>
      </c>
    </row>
    <row r="847" spans="7:7" x14ac:dyDescent="0.25">
      <c r="G847" t="s">
        <v>354</v>
      </c>
    </row>
    <row r="848" spans="7:7" x14ac:dyDescent="0.25">
      <c r="G848" t="s">
        <v>354</v>
      </c>
    </row>
    <row r="849" spans="7:7" x14ac:dyDescent="0.25">
      <c r="G849" t="s">
        <v>354</v>
      </c>
    </row>
    <row r="850" spans="7:7" x14ac:dyDescent="0.25">
      <c r="G850" t="s">
        <v>354</v>
      </c>
    </row>
    <row r="851" spans="7:7" x14ac:dyDescent="0.25">
      <c r="G851" t="s">
        <v>354</v>
      </c>
    </row>
    <row r="852" spans="7:7" x14ac:dyDescent="0.25">
      <c r="G852" t="s">
        <v>354</v>
      </c>
    </row>
    <row r="853" spans="7:7" x14ac:dyDescent="0.25">
      <c r="G853" t="s">
        <v>354</v>
      </c>
    </row>
    <row r="854" spans="7:7" x14ac:dyDescent="0.25">
      <c r="G854" t="s">
        <v>354</v>
      </c>
    </row>
    <row r="855" spans="7:7" x14ac:dyDescent="0.25">
      <c r="G855" t="s">
        <v>354</v>
      </c>
    </row>
    <row r="856" spans="7:7" x14ac:dyDescent="0.25">
      <c r="G856" t="s">
        <v>354</v>
      </c>
    </row>
    <row r="857" spans="7:7" x14ac:dyDescent="0.25">
      <c r="G857" t="s">
        <v>354</v>
      </c>
    </row>
    <row r="858" spans="7:7" x14ac:dyDescent="0.25">
      <c r="G858" t="s">
        <v>354</v>
      </c>
    </row>
    <row r="859" spans="7:7" x14ac:dyDescent="0.25">
      <c r="G859" t="s">
        <v>354</v>
      </c>
    </row>
    <row r="860" spans="7:7" x14ac:dyDescent="0.25">
      <c r="G860" t="s">
        <v>354</v>
      </c>
    </row>
    <row r="861" spans="7:7" x14ac:dyDescent="0.25">
      <c r="G861" t="s">
        <v>354</v>
      </c>
    </row>
    <row r="862" spans="7:7" x14ac:dyDescent="0.25">
      <c r="G862" t="s">
        <v>354</v>
      </c>
    </row>
    <row r="863" spans="7:7" x14ac:dyDescent="0.25">
      <c r="G863" t="s">
        <v>354</v>
      </c>
    </row>
    <row r="864" spans="7:7" x14ac:dyDescent="0.25">
      <c r="G864" t="s">
        <v>354</v>
      </c>
    </row>
    <row r="865" spans="7:7" x14ac:dyDescent="0.25">
      <c r="G865" t="s">
        <v>354</v>
      </c>
    </row>
    <row r="866" spans="7:7" x14ac:dyDescent="0.25">
      <c r="G866" t="s">
        <v>354</v>
      </c>
    </row>
    <row r="867" spans="7:7" x14ac:dyDescent="0.25">
      <c r="G867" t="s">
        <v>354</v>
      </c>
    </row>
    <row r="868" spans="7:7" x14ac:dyDescent="0.25">
      <c r="G868" t="s">
        <v>354</v>
      </c>
    </row>
    <row r="869" spans="7:7" x14ac:dyDescent="0.25">
      <c r="G869" t="s">
        <v>354</v>
      </c>
    </row>
    <row r="870" spans="7:7" x14ac:dyDescent="0.25">
      <c r="G870" t="s">
        <v>354</v>
      </c>
    </row>
    <row r="871" spans="7:7" x14ac:dyDescent="0.25">
      <c r="G871" t="s">
        <v>354</v>
      </c>
    </row>
    <row r="872" spans="7:7" x14ac:dyDescent="0.25">
      <c r="G872" t="s">
        <v>354</v>
      </c>
    </row>
    <row r="873" spans="7:7" x14ac:dyDescent="0.25">
      <c r="G873" t="s">
        <v>354</v>
      </c>
    </row>
    <row r="874" spans="7:7" x14ac:dyDescent="0.25">
      <c r="G874" t="s">
        <v>354</v>
      </c>
    </row>
    <row r="875" spans="7:7" x14ac:dyDescent="0.25">
      <c r="G875" t="s">
        <v>354</v>
      </c>
    </row>
    <row r="876" spans="7:7" x14ac:dyDescent="0.25">
      <c r="G876" t="s">
        <v>354</v>
      </c>
    </row>
    <row r="877" spans="7:7" x14ac:dyDescent="0.25">
      <c r="G877" t="s">
        <v>354</v>
      </c>
    </row>
    <row r="878" spans="7:7" x14ac:dyDescent="0.25">
      <c r="G878" t="s">
        <v>354</v>
      </c>
    </row>
    <row r="879" spans="7:7" x14ac:dyDescent="0.25">
      <c r="G879" t="s">
        <v>354</v>
      </c>
    </row>
    <row r="880" spans="7:7" x14ac:dyDescent="0.25">
      <c r="G880" t="s">
        <v>354</v>
      </c>
    </row>
    <row r="881" spans="7:7" x14ac:dyDescent="0.25">
      <c r="G881" t="s">
        <v>354</v>
      </c>
    </row>
    <row r="882" spans="7:7" x14ac:dyDescent="0.25">
      <c r="G882" t="s">
        <v>354</v>
      </c>
    </row>
    <row r="883" spans="7:7" x14ac:dyDescent="0.25">
      <c r="G883" t="s">
        <v>354</v>
      </c>
    </row>
    <row r="884" spans="7:7" x14ac:dyDescent="0.25">
      <c r="G884" t="s">
        <v>354</v>
      </c>
    </row>
    <row r="885" spans="7:7" x14ac:dyDescent="0.25">
      <c r="G885" t="s">
        <v>354</v>
      </c>
    </row>
    <row r="886" spans="7:7" x14ac:dyDescent="0.25">
      <c r="G886" t="s">
        <v>354</v>
      </c>
    </row>
    <row r="887" spans="7:7" x14ac:dyDescent="0.25">
      <c r="G887" t="s">
        <v>354</v>
      </c>
    </row>
    <row r="888" spans="7:7" x14ac:dyDescent="0.25">
      <c r="G888" t="s">
        <v>354</v>
      </c>
    </row>
    <row r="889" spans="7:7" x14ac:dyDescent="0.25">
      <c r="G889" t="s">
        <v>354</v>
      </c>
    </row>
    <row r="890" spans="7:7" x14ac:dyDescent="0.25">
      <c r="G890" t="s">
        <v>354</v>
      </c>
    </row>
    <row r="891" spans="7:7" x14ac:dyDescent="0.25">
      <c r="G891" t="s">
        <v>354</v>
      </c>
    </row>
    <row r="892" spans="7:7" x14ac:dyDescent="0.25">
      <c r="G892" t="s">
        <v>354</v>
      </c>
    </row>
    <row r="893" spans="7:7" x14ac:dyDescent="0.25">
      <c r="G893" t="s">
        <v>354</v>
      </c>
    </row>
    <row r="894" spans="7:7" x14ac:dyDescent="0.25">
      <c r="G894" t="s">
        <v>354</v>
      </c>
    </row>
    <row r="895" spans="7:7" x14ac:dyDescent="0.25">
      <c r="G895" t="s">
        <v>354</v>
      </c>
    </row>
    <row r="896" spans="7:7" x14ac:dyDescent="0.25">
      <c r="G896" t="s">
        <v>354</v>
      </c>
    </row>
    <row r="897" spans="7:7" x14ac:dyDescent="0.25">
      <c r="G897" t="s">
        <v>354</v>
      </c>
    </row>
    <row r="898" spans="7:7" x14ac:dyDescent="0.25">
      <c r="G898" t="s">
        <v>354</v>
      </c>
    </row>
    <row r="899" spans="7:7" x14ac:dyDescent="0.25">
      <c r="G899" t="s">
        <v>354</v>
      </c>
    </row>
    <row r="900" spans="7:7" x14ac:dyDescent="0.25">
      <c r="G900" t="s">
        <v>354</v>
      </c>
    </row>
    <row r="901" spans="7:7" x14ac:dyDescent="0.25">
      <c r="G901" t="s">
        <v>354</v>
      </c>
    </row>
    <row r="902" spans="7:7" x14ac:dyDescent="0.25">
      <c r="G902" t="s">
        <v>354</v>
      </c>
    </row>
    <row r="903" spans="7:7" x14ac:dyDescent="0.25">
      <c r="G903" t="s">
        <v>354</v>
      </c>
    </row>
    <row r="904" spans="7:7" x14ac:dyDescent="0.25">
      <c r="G904" t="s">
        <v>354</v>
      </c>
    </row>
    <row r="905" spans="7:7" x14ac:dyDescent="0.25">
      <c r="G905" t="s">
        <v>354</v>
      </c>
    </row>
    <row r="906" spans="7:7" x14ac:dyDescent="0.25">
      <c r="G906" t="s">
        <v>354</v>
      </c>
    </row>
    <row r="907" spans="7:7" x14ac:dyDescent="0.25">
      <c r="G907" t="s">
        <v>354</v>
      </c>
    </row>
    <row r="908" spans="7:7" x14ac:dyDescent="0.25">
      <c r="G908" t="s">
        <v>354</v>
      </c>
    </row>
    <row r="909" spans="7:7" x14ac:dyDescent="0.25">
      <c r="G909" t="s">
        <v>354</v>
      </c>
    </row>
    <row r="910" spans="7:7" x14ac:dyDescent="0.25">
      <c r="G910" t="s">
        <v>354</v>
      </c>
    </row>
    <row r="911" spans="7:7" x14ac:dyDescent="0.25">
      <c r="G911" t="s">
        <v>354</v>
      </c>
    </row>
    <row r="912" spans="7:7" x14ac:dyDescent="0.25">
      <c r="G912" t="s">
        <v>354</v>
      </c>
    </row>
    <row r="913" spans="7:7" x14ac:dyDescent="0.25">
      <c r="G913" t="s">
        <v>354</v>
      </c>
    </row>
    <row r="914" spans="7:7" x14ac:dyDescent="0.25">
      <c r="G914" t="s">
        <v>354</v>
      </c>
    </row>
    <row r="915" spans="7:7" x14ac:dyDescent="0.25">
      <c r="G915" t="s">
        <v>354</v>
      </c>
    </row>
    <row r="916" spans="7:7" x14ac:dyDescent="0.25">
      <c r="G916" t="s">
        <v>354</v>
      </c>
    </row>
    <row r="917" spans="7:7" x14ac:dyDescent="0.25">
      <c r="G917" t="s">
        <v>354</v>
      </c>
    </row>
    <row r="918" spans="7:7" x14ac:dyDescent="0.25">
      <c r="G918" t="s">
        <v>354</v>
      </c>
    </row>
    <row r="919" spans="7:7" x14ac:dyDescent="0.25">
      <c r="G919" t="s">
        <v>354</v>
      </c>
    </row>
    <row r="920" spans="7:7" x14ac:dyDescent="0.25">
      <c r="G920" t="s">
        <v>354</v>
      </c>
    </row>
    <row r="921" spans="7:7" x14ac:dyDescent="0.25">
      <c r="G921" t="s">
        <v>354</v>
      </c>
    </row>
    <row r="922" spans="7:7" x14ac:dyDescent="0.25">
      <c r="G922" t="s">
        <v>354</v>
      </c>
    </row>
    <row r="923" spans="7:7" x14ac:dyDescent="0.25">
      <c r="G923" t="s">
        <v>354</v>
      </c>
    </row>
    <row r="924" spans="7:7" x14ac:dyDescent="0.25">
      <c r="G924" t="s">
        <v>354</v>
      </c>
    </row>
    <row r="925" spans="7:7" x14ac:dyDescent="0.25">
      <c r="G925" t="s">
        <v>354</v>
      </c>
    </row>
    <row r="926" spans="7:7" x14ac:dyDescent="0.25">
      <c r="G926" t="s">
        <v>354</v>
      </c>
    </row>
    <row r="927" spans="7:7" x14ac:dyDescent="0.25">
      <c r="G927" t="s">
        <v>354</v>
      </c>
    </row>
    <row r="928" spans="7:7" x14ac:dyDescent="0.25">
      <c r="G928" t="s">
        <v>354</v>
      </c>
    </row>
    <row r="929" spans="7:7" x14ac:dyDescent="0.25">
      <c r="G929" t="s">
        <v>354</v>
      </c>
    </row>
    <row r="930" spans="7:7" x14ac:dyDescent="0.25">
      <c r="G930" t="s">
        <v>354</v>
      </c>
    </row>
    <row r="931" spans="7:7" x14ac:dyDescent="0.25">
      <c r="G931" t="s">
        <v>354</v>
      </c>
    </row>
    <row r="932" spans="7:7" x14ac:dyDescent="0.25">
      <c r="G932" t="s">
        <v>354</v>
      </c>
    </row>
    <row r="933" spans="7:7" x14ac:dyDescent="0.25">
      <c r="G933" t="s">
        <v>354</v>
      </c>
    </row>
    <row r="934" spans="7:7" x14ac:dyDescent="0.25">
      <c r="G934" t="s">
        <v>354</v>
      </c>
    </row>
    <row r="935" spans="7:7" x14ac:dyDescent="0.25">
      <c r="G935" t="s">
        <v>354</v>
      </c>
    </row>
    <row r="936" spans="7:7" x14ac:dyDescent="0.25">
      <c r="G936" t="s">
        <v>354</v>
      </c>
    </row>
    <row r="937" spans="7:7" x14ac:dyDescent="0.25">
      <c r="G937" t="s">
        <v>354</v>
      </c>
    </row>
    <row r="938" spans="7:7" x14ac:dyDescent="0.25">
      <c r="G938" t="s">
        <v>354</v>
      </c>
    </row>
    <row r="939" spans="7:7" x14ac:dyDescent="0.25">
      <c r="G939" t="s">
        <v>354</v>
      </c>
    </row>
    <row r="940" spans="7:7" x14ac:dyDescent="0.25">
      <c r="G940" t="s">
        <v>354</v>
      </c>
    </row>
    <row r="941" spans="7:7" x14ac:dyDescent="0.25">
      <c r="G941" t="s">
        <v>354</v>
      </c>
    </row>
    <row r="942" spans="7:7" x14ac:dyDescent="0.25">
      <c r="G942" t="s">
        <v>354</v>
      </c>
    </row>
    <row r="943" spans="7:7" x14ac:dyDescent="0.25">
      <c r="G943" t="s">
        <v>354</v>
      </c>
    </row>
    <row r="944" spans="7:7" x14ac:dyDescent="0.25">
      <c r="G944" t="s">
        <v>354</v>
      </c>
    </row>
    <row r="945" spans="7:7" x14ac:dyDescent="0.25">
      <c r="G945" t="s">
        <v>354</v>
      </c>
    </row>
    <row r="946" spans="7:7" x14ac:dyDescent="0.25">
      <c r="G946" t="s">
        <v>354</v>
      </c>
    </row>
    <row r="947" spans="7:7" x14ac:dyDescent="0.25">
      <c r="G947" t="s">
        <v>354</v>
      </c>
    </row>
    <row r="948" spans="7:7" x14ac:dyDescent="0.25">
      <c r="G948" t="s">
        <v>354</v>
      </c>
    </row>
    <row r="949" spans="7:7" x14ac:dyDescent="0.25">
      <c r="G949" t="s">
        <v>354</v>
      </c>
    </row>
    <row r="950" spans="7:7" x14ac:dyDescent="0.25">
      <c r="G950" t="s">
        <v>354</v>
      </c>
    </row>
    <row r="951" spans="7:7" x14ac:dyDescent="0.25">
      <c r="G951" t="s">
        <v>354</v>
      </c>
    </row>
    <row r="952" spans="7:7" x14ac:dyDescent="0.25">
      <c r="G952" t="s">
        <v>354</v>
      </c>
    </row>
    <row r="953" spans="7:7" x14ac:dyDescent="0.25">
      <c r="G953" t="s">
        <v>354</v>
      </c>
    </row>
    <row r="954" spans="7:7" x14ac:dyDescent="0.25">
      <c r="G954" t="s">
        <v>354</v>
      </c>
    </row>
    <row r="955" spans="7:7" x14ac:dyDescent="0.25">
      <c r="G955" t="s">
        <v>354</v>
      </c>
    </row>
    <row r="956" spans="7:7" x14ac:dyDescent="0.25">
      <c r="G956" t="s">
        <v>354</v>
      </c>
    </row>
    <row r="957" spans="7:7" x14ac:dyDescent="0.25">
      <c r="G957" t="s">
        <v>354</v>
      </c>
    </row>
    <row r="958" spans="7:7" x14ac:dyDescent="0.25">
      <c r="G958" t="s">
        <v>354</v>
      </c>
    </row>
    <row r="959" spans="7:7" x14ac:dyDescent="0.25">
      <c r="G959" t="s">
        <v>354</v>
      </c>
    </row>
    <row r="960" spans="7:7" x14ac:dyDescent="0.25">
      <c r="G960" t="s">
        <v>354</v>
      </c>
    </row>
    <row r="961" spans="7:7" x14ac:dyDescent="0.25">
      <c r="G961" t="s">
        <v>354</v>
      </c>
    </row>
    <row r="962" spans="7:7" x14ac:dyDescent="0.25">
      <c r="G962" t="s">
        <v>354</v>
      </c>
    </row>
    <row r="963" spans="7:7" x14ac:dyDescent="0.25">
      <c r="G963" t="s">
        <v>354</v>
      </c>
    </row>
    <row r="964" spans="7:7" x14ac:dyDescent="0.25">
      <c r="G964" t="s">
        <v>354</v>
      </c>
    </row>
    <row r="965" spans="7:7" x14ac:dyDescent="0.25">
      <c r="G965" t="s">
        <v>354</v>
      </c>
    </row>
    <row r="966" spans="7:7" x14ac:dyDescent="0.25">
      <c r="G966" t="s">
        <v>354</v>
      </c>
    </row>
    <row r="967" spans="7:7" x14ac:dyDescent="0.25">
      <c r="G967" t="s">
        <v>354</v>
      </c>
    </row>
    <row r="968" spans="7:7" x14ac:dyDescent="0.25">
      <c r="G968" t="s">
        <v>354</v>
      </c>
    </row>
    <row r="969" spans="7:7" x14ac:dyDescent="0.25">
      <c r="G969" t="s">
        <v>354</v>
      </c>
    </row>
    <row r="970" spans="7:7" x14ac:dyDescent="0.25">
      <c r="G970" t="s">
        <v>354</v>
      </c>
    </row>
    <row r="971" spans="7:7" x14ac:dyDescent="0.25">
      <c r="G971" t="s">
        <v>354</v>
      </c>
    </row>
    <row r="972" spans="7:7" x14ac:dyDescent="0.25">
      <c r="G972" t="s">
        <v>354</v>
      </c>
    </row>
    <row r="973" spans="7:7" x14ac:dyDescent="0.25">
      <c r="G973" t="s">
        <v>354</v>
      </c>
    </row>
    <row r="974" spans="7:7" x14ac:dyDescent="0.25">
      <c r="G974" t="s">
        <v>354</v>
      </c>
    </row>
    <row r="975" spans="7:7" x14ac:dyDescent="0.25">
      <c r="G975" t="s">
        <v>354</v>
      </c>
    </row>
    <row r="976" spans="7:7" x14ac:dyDescent="0.25">
      <c r="G976" t="s">
        <v>354</v>
      </c>
    </row>
    <row r="977" spans="1:8" x14ac:dyDescent="0.25">
      <c r="G977" t="s">
        <v>354</v>
      </c>
    </row>
    <row r="978" spans="1:8" x14ac:dyDescent="0.25">
      <c r="G978" t="s">
        <v>354</v>
      </c>
    </row>
    <row r="979" spans="1:8" x14ac:dyDescent="0.25">
      <c r="G979" t="s">
        <v>354</v>
      </c>
    </row>
    <row r="980" spans="1:8" x14ac:dyDescent="0.25">
      <c r="A980" t="s">
        <v>366</v>
      </c>
      <c r="B980">
        <v>1</v>
      </c>
      <c r="C980" t="s">
        <v>366</v>
      </c>
      <c r="D980" s="1" t="s">
        <v>366</v>
      </c>
      <c r="E980" t="s">
        <v>366</v>
      </c>
      <c r="F980" t="s">
        <v>366</v>
      </c>
      <c r="G980">
        <v>1</v>
      </c>
      <c r="H980" t="s">
        <v>366</v>
      </c>
    </row>
    <row r="981" spans="1:8" x14ac:dyDescent="0.25">
      <c r="A981" t="s">
        <v>367</v>
      </c>
      <c r="B981">
        <v>1</v>
      </c>
      <c r="C981" t="s">
        <v>368</v>
      </c>
      <c r="D981" s="1" t="s">
        <v>369</v>
      </c>
      <c r="E981" t="s">
        <v>370</v>
      </c>
      <c r="F981" t="s">
        <v>371</v>
      </c>
      <c r="G981">
        <v>1</v>
      </c>
      <c r="H981" t="s">
        <v>372</v>
      </c>
    </row>
    <row r="982" spans="1:8" x14ac:dyDescent="0.25">
      <c r="A982" t="s">
        <v>367</v>
      </c>
      <c r="B982">
        <v>1</v>
      </c>
      <c r="C982" t="s">
        <v>368</v>
      </c>
      <c r="D982" s="1" t="s">
        <v>369</v>
      </c>
      <c r="E982" t="s">
        <v>370</v>
      </c>
      <c r="F982" t="s">
        <v>371</v>
      </c>
      <c r="G982">
        <v>1</v>
      </c>
      <c r="H982" t="s">
        <v>372</v>
      </c>
    </row>
    <row r="983" spans="1:8" x14ac:dyDescent="0.25">
      <c r="A983" t="s">
        <v>367</v>
      </c>
      <c r="B983">
        <v>1</v>
      </c>
      <c r="C983" t="s">
        <v>368</v>
      </c>
      <c r="D983" s="1" t="s">
        <v>369</v>
      </c>
      <c r="E983" t="s">
        <v>370</v>
      </c>
      <c r="F983" t="s">
        <v>371</v>
      </c>
      <c r="G983">
        <v>1</v>
      </c>
      <c r="H983" t="s">
        <v>372</v>
      </c>
    </row>
    <row r="984" spans="1:8" x14ac:dyDescent="0.25">
      <c r="A984" t="s">
        <v>367</v>
      </c>
      <c r="B984">
        <v>1</v>
      </c>
      <c r="C984" t="s">
        <v>368</v>
      </c>
      <c r="D984" s="1" t="s">
        <v>369</v>
      </c>
      <c r="E984" t="s">
        <v>370</v>
      </c>
      <c r="F984" t="s">
        <v>371</v>
      </c>
      <c r="G984">
        <v>1</v>
      </c>
      <c r="H984" t="s">
        <v>372</v>
      </c>
    </row>
    <row r="985" spans="1:8" x14ac:dyDescent="0.25">
      <c r="A985" t="s">
        <v>367</v>
      </c>
      <c r="B985">
        <v>1</v>
      </c>
      <c r="C985" t="s">
        <v>368</v>
      </c>
      <c r="D985" s="1" t="s">
        <v>369</v>
      </c>
      <c r="E985" t="s">
        <v>370</v>
      </c>
      <c r="F985" t="s">
        <v>371</v>
      </c>
      <c r="G985">
        <v>1</v>
      </c>
      <c r="H985" t="s">
        <v>372</v>
      </c>
    </row>
    <row r="986" spans="1:8" x14ac:dyDescent="0.25">
      <c r="A986" t="s">
        <v>367</v>
      </c>
      <c r="B986">
        <v>1</v>
      </c>
      <c r="C986" t="s">
        <v>368</v>
      </c>
      <c r="D986" s="1" t="s">
        <v>369</v>
      </c>
      <c r="E986" t="s">
        <v>370</v>
      </c>
      <c r="F986" t="s">
        <v>371</v>
      </c>
      <c r="G986">
        <v>1</v>
      </c>
      <c r="H986" t="s">
        <v>372</v>
      </c>
    </row>
  </sheetData>
  <conditionalFormatting sqref="G803:G979 H803:H978 A803:F978 A1:H190">
    <cfRule type="expression" dxfId="0" priority="1">
      <formula>$G1=0</formula>
    </cfRule>
  </conditionalFormatting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autoPict="0" r:id="rId5">
            <anchor moveWithCells="1">
              <from>
                <xdr:col>0</xdr:col>
                <xdr:colOff>1247775</xdr:colOff>
                <xdr:row>195</xdr:row>
                <xdr:rowOff>0</xdr:rowOff>
              </from>
              <to>
                <xdr:col>7</xdr:col>
                <xdr:colOff>762000</xdr:colOff>
                <xdr:row>204</xdr:row>
                <xdr:rowOff>85725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15</vt:i4>
      </vt:variant>
    </vt:vector>
  </HeadingPairs>
  <TitlesOfParts>
    <vt:vector size="17" baseType="lpstr">
      <vt:lpstr>BITACORA</vt:lpstr>
      <vt:lpstr>General</vt:lpstr>
      <vt:lpstr>BATERIAS</vt:lpstr>
      <vt:lpstr>CABLES</vt:lpstr>
      <vt:lpstr>CAMARA</vt:lpstr>
      <vt:lpstr>CARGADOR</vt:lpstr>
      <vt:lpstr>CATEGORIA</vt:lpstr>
      <vt:lpstr>COMPUTADORA</vt:lpstr>
      <vt:lpstr>CONTROL</vt:lpstr>
      <vt:lpstr>ELECTRONICA</vt:lpstr>
      <vt:lpstr>GIMBAL</vt:lpstr>
      <vt:lpstr>HARDWARE</vt:lpstr>
      <vt:lpstr>HERRAMIENTA</vt:lpstr>
      <vt:lpstr>INSUMOS</vt:lpstr>
      <vt:lpstr>MEMORIAS</vt:lpstr>
      <vt:lpstr>OTROS</vt:lpstr>
      <vt:lpstr>REFACCIONES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Nodier</dc:creator>
  <cp:lastModifiedBy>Nodier</cp:lastModifiedBy>
  <cp:lastPrinted>2017-05-24T17:58:23Z</cp:lastPrinted>
  <dcterms:created xsi:type="dcterms:W3CDTF">2017-04-18T16:32:01Z</dcterms:created>
  <dcterms:modified xsi:type="dcterms:W3CDTF">2017-05-29T20:07:25Z</dcterms:modified>
</cp:coreProperties>
</file>